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Profitability Model" sheetId="1" state="visible" r:id="rId3"/>
    <sheet name="📝 Task 1 Answers" sheetId="2" state="visible" r:id="rId4"/>
    <sheet name="🔄 Scenario Analysis" sheetId="3" state="visible" r:id="rId5"/>
    <sheet name="📋 Task 3A Status Update" sheetId="4" state="visible" r:id="rId6"/>
    <sheet name="🎯 Task 3B MD Talking Points" sheetId="5" state="visible" r:id="rId7"/>
    <sheet name="📚 Concepts Reference" sheetId="6" state="visible" r:id="rId8"/>
    <sheet name="✅ Submission Checkli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<sst xmlns="http://schemas.openxmlformats.org/spreadsheetml/2006/main" count="537" uniqueCount="381">
  <si>
    <t xml:space="preserve">GlowNest — Amazon Profitability Model</t>
  </si>
  <si>
    <t xml:space="preserve">SECTION 1 — INPUTS  (blue cells = change these)</t>
  </si>
  <si>
    <t xml:space="preserve">Selling Price (SP)</t>
  </si>
  <si>
    <t xml:space="preserve">← edit this value</t>
  </si>
  <si>
    <t xml:space="preserve">Cost of Goods Sold (COGS)</t>
  </si>
  <si>
    <t xml:space="preserve">Amazon Referral Fee (%)</t>
  </si>
  <si>
    <t xml:space="preserve">Monthly Ad Spend</t>
  </si>
  <si>
    <t xml:space="preserve">Units Sold via Ads (monthly)</t>
  </si>
  <si>
    <t xml:space="preserve">Organic Units Sold (monthly)</t>
  </si>
  <si>
    <t xml:space="preserve">Fixed Costs (monthly)</t>
  </si>
  <si>
    <t xml:space="preserve">SECTION 2 — UNIT ECONOMICS</t>
  </si>
  <si>
    <t xml:space="preserve">Gross Margin per Unit</t>
  </si>
  <si>
    <t xml:space="preserve">SP minus COGS</t>
  </si>
  <si>
    <t xml:space="preserve">Amazon Fee per Unit</t>
  </si>
  <si>
    <t xml:space="preserve">SP times Fee percent</t>
  </si>
  <si>
    <t xml:space="preserve">Ad Cost per Unit</t>
  </si>
  <si>
    <t xml:space="preserve">Ad Spend divided by Ad Units</t>
  </si>
  <si>
    <t xml:space="preserve">Net Margin — Ad Unit</t>
  </si>
  <si>
    <t xml:space="preserve">Gross minus Fee minus AdCPU</t>
  </si>
  <si>
    <t xml:space="preserve">Net Margin — Organic Unit</t>
  </si>
  <si>
    <t xml:space="preserve">Gross minus Fee only</t>
  </si>
  <si>
    <t xml:space="preserve">SECTION 3 — MONTHLY PROFITABILITY</t>
  </si>
  <si>
    <t xml:space="preserve">Total Ad Revenue</t>
  </si>
  <si>
    <t xml:space="preserve">SP × Ad Units</t>
  </si>
  <si>
    <t xml:space="preserve">Total Organic Revenue</t>
  </si>
  <si>
    <t xml:space="preserve">SP × Organic Units</t>
  </si>
  <si>
    <t xml:space="preserve">Total Revenue</t>
  </si>
  <si>
    <t xml:space="preserve">SP × Total Units</t>
  </si>
  <si>
    <t xml:space="preserve">Contribution — Ad Units</t>
  </si>
  <si>
    <t xml:space="preserve">Net Margin(ad) × Ad Units</t>
  </si>
  <si>
    <t xml:space="preserve">Contribution — Organic</t>
  </si>
  <si>
    <t xml:space="preserve">Net Margin(org) × Organic Units</t>
  </si>
  <si>
    <t xml:space="preserve">Total Contribution</t>
  </si>
  <si>
    <t xml:space="preserve">Ad + Organic contribution</t>
  </si>
  <si>
    <t xml:space="preserve">Fixed Costs</t>
  </si>
  <si>
    <t xml:space="preserve">Warehousing, team, software</t>
  </si>
  <si>
    <t xml:space="preserve">MONTHLY PROFIT</t>
  </si>
  <si>
    <t xml:space="preserve">Contribution − Fixed Costs</t>
  </si>
  <si>
    <t xml:space="preserve">SECTION 4 — KPI METRICS</t>
  </si>
  <si>
    <t xml:space="preserve">ACOS (Advertising Cost of Sale)</t>
  </si>
  <si>
    <t xml:space="preserve">Ad Spend ÷ Ad Revenue  [target &lt;35%]</t>
  </si>
  <si>
    <t xml:space="preserve">TACOS (Total Advertising Cost of Sale)</t>
  </si>
  <si>
    <t xml:space="preserve">Ad Spend ÷ Total Revenue  [target &lt;15%]</t>
  </si>
  <si>
    <t xml:space="preserve">ROAS (Return on Ad Spend)</t>
  </si>
  <si>
    <t xml:space="preserve">Ad Revenue ÷ Ad Spend  [target &gt;3x]</t>
  </si>
  <si>
    <t xml:space="preserve">Break-Even Ad Spend</t>
  </si>
  <si>
    <t xml:space="preserve">Max spend before profit = 0</t>
  </si>
  <si>
    <t xml:space="preserve">Break-Even ACOS</t>
  </si>
  <si>
    <t xml:space="preserve">Ad Spend at break-even ÷ Ad Revenue</t>
  </si>
  <si>
    <t xml:space="preserve">Net Margin % of Revenue</t>
  </si>
  <si>
    <t xml:space="preserve">Monthly Profit ÷ Total Revenue</t>
  </si>
  <si>
    <t xml:space="preserve">Task 1 — GlowNest Campaign Viability Analysis</t>
  </si>
  <si>
    <t xml:space="preserve">Q1 — Unit Economics</t>
  </si>
  <si>
    <t xml:space="preserve">Metric / Item</t>
  </si>
  <si>
    <t xml:space="preserve">Calculation</t>
  </si>
  <si>
    <t xml:space="preserve">Result / Answer</t>
  </si>
  <si>
    <t xml:space="preserve">₹800 − ₹280</t>
  </si>
  <si>
    <t xml:space="preserve">₹520</t>
  </si>
  <si>
    <t xml:space="preserve">Amazon Referral Fee per Unit</t>
  </si>
  <si>
    <t xml:space="preserve">₹800 × 12%</t>
  </si>
  <si>
    <t xml:space="preserve">₹96</t>
  </si>
  <si>
    <t xml:space="preserve">₹3,00,000 ÷ 1,500 units</t>
  </si>
  <si>
    <t xml:space="preserve">₹200</t>
  </si>
  <si>
    <t xml:space="preserve">₹520 − ₹96 − ₹200</t>
  </si>
  <si>
    <t xml:space="preserve">₹224  (28% of SP)</t>
  </si>
  <si>
    <t xml:space="preserve">₹520 − ₹96 (no ad cost)</t>
  </si>
  <si>
    <t xml:space="preserve">₹424</t>
  </si>
  <si>
    <t xml:space="preserve">Q2 — Monthly Profitability</t>
  </si>
  <si>
    <t xml:space="preserve">Contribution from Ad Units</t>
  </si>
  <si>
    <t xml:space="preserve">₹224 × 1,500</t>
  </si>
  <si>
    <t xml:space="preserve">₹3,36,000</t>
  </si>
  <si>
    <t xml:space="preserve">Contribution from Organic Units</t>
  </si>
  <si>
    <t xml:space="preserve">₹424 × 2,000</t>
  </si>
  <si>
    <t xml:space="preserve">₹8,48,000</t>
  </si>
  <si>
    <t xml:space="preserve">₹11,84,000</t>
  </si>
  <si>
    <t xml:space="preserve">Less: Fixed Costs</t>
  </si>
  <si>
    <t xml:space="preserve">−₹1,50,000</t>
  </si>
  <si>
    <t xml:space="preserve">₹10,34,000 ✓</t>
  </si>
  <si>
    <t xml:space="preserve">Q3 — ACOS &amp; TACOS</t>
  </si>
  <si>
    <t xml:space="preserve">Ad Revenue</t>
  </si>
  <si>
    <t xml:space="preserve">₹800 × 1,500</t>
  </si>
  <si>
    <t xml:space="preserve">₹12,00,000</t>
  </si>
  <si>
    <t xml:space="preserve">ACOS</t>
  </si>
  <si>
    <t xml:space="preserve">₹3,00,000 ÷ ₹12,00,000</t>
  </si>
  <si>
    <t xml:space="preserve">25.0%  → HEALTHY</t>
  </si>
  <si>
    <t xml:space="preserve">₹800 × 3,500 units</t>
  </si>
  <si>
    <t xml:space="preserve">₹28,00,000</t>
  </si>
  <si>
    <t xml:space="preserve">TACOS</t>
  </si>
  <si>
    <t xml:space="preserve">₹3,00,000 ÷ ₹28,00,000</t>
  </si>
  <si>
    <t xml:space="preserve">10.7%  → EXCELLENT</t>
  </si>
  <si>
    <t xml:space="preserve">Interpretation</t>
  </si>
  <si>
    <t xml:space="preserve">ACOS 25% is sustainable for premium skincare. TACOS 10.7% shows organic sales (57% of total) doing real work. Brand equity is compounding.</t>
  </si>
  <si>
    <t xml:space="preserve">Q4 — Break-Even Ad Spend</t>
  </si>
  <si>
    <t xml:space="preserve">Organic surplus (covers fixed costs)</t>
  </si>
  <si>
    <t xml:space="preserve">₹424×2000 − ₹1,50,000</t>
  </si>
  <si>
    <t xml:space="preserve">₹6,98,000</t>
  </si>
  <si>
    <t xml:space="preserve">Max ad cost/unit at break-even</t>
  </si>
  <si>
    <t xml:space="preserve">Gross−Fee = ₹424</t>
  </si>
  <si>
    <t xml:space="preserve">₹424/unit</t>
  </si>
  <si>
    <t xml:space="preserve">₹424 × 1,500 units</t>
  </si>
  <si>
    <t xml:space="preserve">₹6,36,000</t>
  </si>
  <si>
    <t xml:space="preserve">₹6,36,000 ÷ ₹12,00,000</t>
  </si>
  <si>
    <t xml:space="preserve">53%  → huge safety margin</t>
  </si>
  <si>
    <t xml:space="preserve">Assumption stated</t>
  </si>
  <si>
    <t xml:space="preserve">Solving for point where ad units stop contributing positively — more actionable for campaign management than total business break-even.</t>
  </si>
  <si>
    <t xml:space="preserve">Q5 — Scenario: ACOS Worsens to 40%</t>
  </si>
  <si>
    <t xml:space="preserve">New Ad Spend (40% × ₹800 × 1200)</t>
  </si>
  <si>
    <t xml:space="preserve">₹3,84,000</t>
  </si>
  <si>
    <t xml:space="preserve">₹3,84,000 ÷ 1,200</t>
  </si>
  <si>
    <t xml:space="preserve">₹320</t>
  </si>
  <si>
    <t xml:space="preserve">₹520 − ₹96 − ₹320</t>
  </si>
  <si>
    <t xml:space="preserve">₹104  (was ₹224)</t>
  </si>
  <si>
    <t xml:space="preserve">Monthly Profit</t>
  </si>
  <si>
    <t xml:space="preserve">(₹104×1200)+(₹424×2000)−₹1,50,000</t>
  </si>
  <si>
    <t xml:space="preserve">₹8,22,800</t>
  </si>
  <si>
    <t xml:space="preserve">Profit drop</t>
  </si>
  <si>
    <t xml:space="preserve">₹10,34,000 → ₹8,22,800</t>
  </si>
  <si>
    <t xml:space="preserve">−₹2,11,200</t>
  </si>
  <si>
    <t xml:space="preserve">Recommendation</t>
  </si>
  <si>
    <t xml:space="preserve">Still profitable — organic base cushions the fall. DO NOT panic-cut spend. Audit broad match keywords, add 20-30 negatives, shift to exact/phrase match. Give it 2-3 weeks.</t>
  </si>
  <si>
    <t xml:space="preserve">Q6 — Scenario: Double Ad Spend to ₹6L</t>
  </si>
  <si>
    <t xml:space="preserve">₹6,00,000 ÷ 2,500</t>
  </si>
  <si>
    <t xml:space="preserve">₹240</t>
  </si>
  <si>
    <t xml:space="preserve">₹520 − ₹96 − ₹240</t>
  </si>
  <si>
    <t xml:space="preserve">₹184</t>
  </si>
  <si>
    <t xml:space="preserve">₹6L ÷ (₹800×2500)</t>
  </si>
  <si>
    <t xml:space="preserve">30%  (up from 25%)</t>
  </si>
  <si>
    <t xml:space="preserve">₹6L ÷ ₹36,00,000</t>
  </si>
  <si>
    <t xml:space="preserve">16.7%  (crosses 15% caution)</t>
  </si>
  <si>
    <t xml:space="preserve">(₹184×2500)+(₹424×2000)−₹1,50,000</t>
  </si>
  <si>
    <t xml:space="preserve">₹11,58,000</t>
  </si>
  <si>
    <t xml:space="preserve">Extra profit vs extra spend</t>
  </si>
  <si>
    <t xml:space="preserve">+₹1,25,000 profit on +₹3,00,000 spend</t>
  </si>
  <si>
    <t xml:space="preserve">Poor marginal return</t>
  </si>
  <si>
    <t xml:space="preserve">Only justified if goal is category ranking / new-to-brand acquisition. Ask brand: topline growth or margin protection? Answer changes the decision.</t>
  </si>
  <si>
    <t xml:space="preserve">Task 2 — Scenario Analysis (All formulas reference inputs)</t>
  </si>
  <si>
    <t xml:space="preserve">Metric</t>
  </si>
  <si>
    <t xml:space="preserve">Base Case</t>
  </si>
  <si>
    <t xml:space="preserve">Q5: ACOS→40%</t>
  </si>
  <si>
    <t xml:space="preserve">Q6: 2x Spend</t>
  </si>
  <si>
    <t xml:space="preserve">Price ₹950</t>
  </si>
  <si>
    <t xml:space="preserve">COGS +20%</t>
  </si>
  <si>
    <t xml:space="preserve">Organic 3500</t>
  </si>
  <si>
    <t xml:space="preserve">SP ₹700</t>
  </si>
  <si>
    <t xml:space="preserve">INPUTS</t>
  </si>
  <si>
    <t xml:space="preserve">Selling Price</t>
  </si>
  <si>
    <t xml:space="preserve">₹800</t>
  </si>
  <si>
    <t xml:space="preserve">₹950</t>
  </si>
  <si>
    <t xml:space="preserve">₹700</t>
  </si>
  <si>
    <t xml:space="preserve">COGS</t>
  </si>
  <si>
    <t xml:space="preserve">₹280</t>
  </si>
  <si>
    <t xml:space="preserve">₹336</t>
  </si>
  <si>
    <t xml:space="preserve">Amazon Fee %</t>
  </si>
  <si>
    <t xml:space="preserve">12%</t>
  </si>
  <si>
    <t xml:space="preserve">Ad Spend</t>
  </si>
  <si>
    <t xml:space="preserve">₹3,00,000</t>
  </si>
  <si>
    <t xml:space="preserve">₹6,00,000</t>
  </si>
  <si>
    <t xml:space="preserve">Units via Ads</t>
  </si>
  <si>
    <t xml:space="preserve">1,500</t>
  </si>
  <si>
    <t xml:space="preserve">1,200</t>
  </si>
  <si>
    <t xml:space="preserve">2,500</t>
  </si>
  <si>
    <t xml:space="preserve">Organic Units</t>
  </si>
  <si>
    <t xml:space="preserve">2,000</t>
  </si>
  <si>
    <t xml:space="preserve">3,500</t>
  </si>
  <si>
    <t xml:space="preserve">₹1,50,000</t>
  </si>
  <si>
    <t xml:space="preserve">OUTPUTS</t>
  </si>
  <si>
    <t xml:space="preserve">Gross Margin/unit</t>
  </si>
  <si>
    <t xml:space="preserve">₹670</t>
  </si>
  <si>
    <t xml:space="preserve">₹464</t>
  </si>
  <si>
    <t xml:space="preserve">₹420</t>
  </si>
  <si>
    <t xml:space="preserve">Amazon Fee/unit</t>
  </si>
  <si>
    <t xml:space="preserve">₹114</t>
  </si>
  <si>
    <t xml:space="preserve">₹84</t>
  </si>
  <si>
    <t xml:space="preserve">Ad Cost/unit</t>
  </si>
  <si>
    <t xml:space="preserve">Net Margin — Ad unit</t>
  </si>
  <si>
    <t xml:space="preserve">₹224</t>
  </si>
  <si>
    <t xml:space="preserve">₹104</t>
  </si>
  <si>
    <t xml:space="preserve">₹356</t>
  </si>
  <si>
    <t xml:space="preserve">₹168</t>
  </si>
  <si>
    <t xml:space="preserve">₹136</t>
  </si>
  <si>
    <t xml:space="preserve">Net Margin — Organic</t>
  </si>
  <si>
    <t xml:space="preserve">₹556</t>
  </si>
  <si>
    <t xml:space="preserve">₹368</t>
  </si>
  <si>
    <t xml:space="preserve">₹27,20,000</t>
  </si>
  <si>
    <t xml:space="preserve">₹36,00,000</t>
  </si>
  <si>
    <t xml:space="preserve">₹33,25,000</t>
  </si>
  <si>
    <t xml:space="preserve">₹40,00,000</t>
  </si>
  <si>
    <t xml:space="preserve">₹24,50,000</t>
  </si>
  <si>
    <t xml:space="preserve">₹10,34,000</t>
  </si>
  <si>
    <t xml:space="preserve">₹15,50,000</t>
  </si>
  <si>
    <t xml:space="preserve">₹8,78,000</t>
  </si>
  <si>
    <t xml:space="preserve">₹14,78,000</t>
  </si>
  <si>
    <t xml:space="preserve">₹3,54,000</t>
  </si>
  <si>
    <t xml:space="preserve">25.0%</t>
  </si>
  <si>
    <t xml:space="preserve">40.0%</t>
  </si>
  <si>
    <t xml:space="preserve">30.0%</t>
  </si>
  <si>
    <t xml:space="preserve">21.1%</t>
  </si>
  <si>
    <t xml:space="preserve">28.6%</t>
  </si>
  <si>
    <t xml:space="preserve">10.7%</t>
  </si>
  <si>
    <t xml:space="preserve">14.1%</t>
  </si>
  <si>
    <t xml:space="preserve">16.7%</t>
  </si>
  <si>
    <t xml:space="preserve">9.0%</t>
  </si>
  <si>
    <t xml:space="preserve">7.5%</t>
  </si>
  <si>
    <t xml:space="preserve">12.2%</t>
  </si>
  <si>
    <t xml:space="preserve">ROAS</t>
  </si>
  <si>
    <t xml:space="preserve">4.0x</t>
  </si>
  <si>
    <t xml:space="preserve">2.5x</t>
  </si>
  <si>
    <t xml:space="preserve">3.3x</t>
  </si>
  <si>
    <t xml:space="preserve">4.7x</t>
  </si>
  <si>
    <t xml:space="preserve">3.5x</t>
  </si>
  <si>
    <t xml:space="preserve">DECISION / VERDICT</t>
  </si>
  <si>
    <t xml:space="preserve">Verdict</t>
  </si>
  <si>
    <t xml:space="preserve">✅ Healthy</t>
  </si>
  <si>
    <t xml:space="preserve">⚠️ Monitor</t>
  </si>
  <si>
    <t xml:space="preserve">⚠️ Justify</t>
  </si>
  <si>
    <t xml:space="preserve">✅ Best case</t>
  </si>
  <si>
    <t xml:space="preserve">⚠️ Watch margin</t>
  </si>
  <si>
    <t xml:space="preserve">✅ Ideal</t>
  </si>
  <si>
    <t xml:space="preserve">❌ Dangerous</t>
  </si>
  <si>
    <t xml:space="preserve">Hold course, grow organic</t>
  </si>
  <si>
    <t xml:space="preserve">Audit keywords, add negatives</t>
  </si>
  <si>
    <t xml:space="preserve">Only if goal = ranking</t>
  </si>
  <si>
    <t xml:space="preserve">Test ₹50 price increase</t>
  </si>
  <si>
    <t xml:space="preserve">Consider price increase</t>
  </si>
  <si>
    <t xml:space="preserve">Keep spend, harvest organic</t>
  </si>
  <si>
    <t xml:space="preserve">Do NOT cut price — brand story</t>
  </si>
  <si>
    <t xml:space="preserve">Task 3A — Weekly Account Status Update (V1 Work, V3 Eyes)</t>
  </si>
  <si>
    <t xml:space="preserve">SECTION</t>
  </si>
  <si>
    <t xml:space="preserve">WEEKLY STATUS UPDATE — Week 4</t>
  </si>
  <si>
    <t xml:space="preserve">BRAND A</t>
  </si>
  <si>
    <t xml:space="preserve">FreshBasket — Organic Snacks</t>
  </si>
  <si>
    <t xml:space="preserve">₹2.5L/month</t>
  </si>
  <si>
    <t xml:space="preserve">4.2  ✅  (above target)</t>
  </si>
  <si>
    <t xml:space="preserve">Client Sentiment</t>
  </si>
  <si>
    <t xml:space="preserve">Happy with numbers, no complaints</t>
  </si>
  <si>
    <t xml:space="preserve">Hours This Week</t>
  </si>
  <si>
    <t xml:space="preserve">9 hours — keyword optimization and weekly report</t>
  </si>
  <si>
    <t xml:space="preserve">Flag</t>
  </si>
  <si>
    <t xml:space="preserve">Client asked: 'Can you explain the daily spend breakdown columns?' (Wednesday)</t>
  </si>
  <si>
    <t xml:space="preserve">Status</t>
  </si>
  <si>
    <t xml:space="preserve">No immediate action needed. Healthy account.</t>
  </si>
  <si>
    <t xml:space="preserve">BRAND B</t>
  </si>
  <si>
    <t xml:space="preserve">UrbanPulse — Men's Grooming</t>
  </si>
  <si>
    <t xml:space="preserve">₹4L/month</t>
  </si>
  <si>
    <t xml:space="preserve">2.1  ⚠️  (target: 3.0) — Month 2, algorithm still learning</t>
  </si>
  <si>
    <t xml:space="preserve">Concerned. Email received: 'Are we sure this is working? Last agency showed better Month 1 ROAS'</t>
  </si>
  <si>
    <t xml:space="preserve">12 hours — keyword restructuring, negative keyword audit, competitive analysis, client email response</t>
  </si>
  <si>
    <t xml:space="preserve">Observation</t>
  </si>
  <si>
    <t xml:space="preserve">Product listing has poor images vs competitors in same category — likely hurting CTR</t>
  </si>
  <si>
    <t xml:space="preserve">Drafted full client response with context on learning phase. Recommend a mid-week progress note to make effort visible.</t>
  </si>
  <si>
    <t xml:space="preserve">BRAND C</t>
  </si>
  <si>
    <t xml:space="preserve">NestWell — Home Fragrances</t>
  </si>
  <si>
    <t xml:space="preserve">₹1.8L/month</t>
  </si>
  <si>
    <t xml:space="preserve">3.5  ✅  (on target)</t>
  </si>
  <si>
    <t xml:space="preserve">Neutral. Asked same report question as Brand A on Wednesday.</t>
  </si>
  <si>
    <t xml:space="preserve">7 hours — routine optimization, monthly report prep</t>
  </si>
  <si>
    <t xml:space="preserve">Client's Flipkart store is active but zero advertising running there</t>
  </si>
  <si>
    <t xml:space="preserve">Routine week. Flipkart opportunity worth discussing.</t>
  </si>
  <si>
    <t xml:space="preserve">⚠️  PATTERN 1</t>
  </si>
  <si>
    <t xml:space="preserve">REPORT DESIGN ISSUE — Brands A and C asked the IDENTICAL question about daily spend breakdown columns. 2 of 3 clients cannot read the same section independently. This is a template problem, not a client education problem. Recommend: redesign column labels + add a legend row before next report cycle.</t>
  </si>
  <si>
    <t xml:space="preserve">⚠️  PATTERN 2</t>
  </si>
  <si>
    <t xml:space="preserve">EFFORT VISIBILITY RISK — UrbanPulse consumed 12 hours this week (most of any account). Client perceives nothing is happening. The gap between effort and perceived value is a churn risk at Month 3, regardless of ROAS recovery. Suggest: send a brief mid-week 'work-in-progress' note showing what was changed and why — not just Friday numbers.</t>
  </si>
  <si>
    <t xml:space="preserve">💡 PATTERN 3</t>
  </si>
  <si>
    <t xml:space="preserve">UNTAPPED REVENUE SIGNAL — NestWell's Flipkart store is live and active but completely unadvertised. No one has asked about this. Either a cross-sell conversation we haven't had, or a gap a competitor will notice first. Recommend flagging to account lead before the next client call.</t>
  </si>
  <si>
    <t xml:space="preserve">TOTAL HOURS</t>
  </si>
  <si>
    <t xml:space="preserve">28 hours across 3 accounts this week</t>
  </si>
  <si>
    <t xml:space="preserve">Task 3B — MD Talking Points: NestWell (Home Fragrances)</t>
  </si>
  <si>
    <t xml:space="preserve">PURPOSE</t>
  </si>
  <si>
    <t xml:space="preserve">15-minute call with MD/Founder — Amazon growth plans for next quarter</t>
  </si>
  <si>
    <t xml:space="preserve">LANGUAGE RULE</t>
  </si>
  <si>
    <t xml:space="preserve">ZERO campaign metrics. No ROAS. No ACOS. Speak: revenue, growth, margin, market position.</t>
  </si>
  <si>
    <t xml:space="preserve">🎯 OPENING</t>
  </si>
  <si>
    <t xml:space="preserve">"Your Amazon channel is healthy and growing. The more interesting conversation is about what isn't happening yet — and what that means for your topline next quarter."</t>
  </si>
  <si>
    <t xml:space="preserve">📊 WHERE THE BRAND STANDS</t>
  </si>
  <si>
    <t xml:space="preserve">NestWell is generating consistent monthly revenue on Amazon with all campaigns running at target efficiency. More importantly, a growing share of sales are now coming organically — customers finding the brand in search without clicking an ad. This means every month of advertising is training the algorithm and building search equity that pays back as free revenue. The channel becomes more profitable over time, not less.</t>
  </si>
  <si>
    <t xml:space="preserve">💰 GROWTH LEVER 1</t>
  </si>
  <si>
    <t xml:space="preserve">FLIPKART — UNTAPPED CHANNEL
Your Flipkart store is live but completely unadvertised. Competitors in Home Fragrances are already spending there. Flipkart's ad platform is less mature than Amazon's — lower cost-per-click, less competition for the same keywords. A ₹75,000–₹1L/month test budget could validate whether Flipkart adds ₹2–4L in incremental monthly revenue. This is topline growth that currently costs nothing — because it doesn't exist yet.</t>
  </si>
  <si>
    <t xml:space="preserve">📅 GROWTH LEVER 2</t>
  </si>
  <si>
    <t xml:space="preserve">SEASONAL POSITIONING (Diwali / Gifting)
Home Fragrances has clear seasonal peaks. A pre-season ad push 6–8 weeks before peak builds keyword ranking before demand surges — meaning lower cost-per-click when competition is highest. Planning this now for Q3 Diwali season could meaningfully improve returns vs reacting to the season as it arrives.</t>
  </si>
  <si>
    <t xml:space="preserve">📈 MARGIN STORY</t>
  </si>
  <si>
    <t xml:space="preserve">As organic sales grow (and they are growing), ad spend as a percentage of total revenue keeps falling — even if we spend the same amount. The brand doesn't need to spend more to grow. It needs to hold the current investment and let organic momentum compound. That's the bottomline story.</t>
  </si>
  <si>
    <t xml:space="preserve">❓ CLOSING QUESTION</t>
  </si>
  <si>
    <t xml:space="preserve">"Where does the Amazon channel fit in your overall growth plan for the next 12 months — are you prioritising revenue growth, or improving margins on what you already have? That shapes what we should do differently next quarter."</t>
  </si>
  <si>
    <t xml:space="preserve">ℹ️  INFO NEEDED</t>
  </si>
  <si>
    <t xml:space="preserve">To sharpen this further I'd want to know: (1) What is NestWell's total business revenue — not just Amazon? (2) How many SKUs are listed on Flipkart already? (3) What is the MD's 12-month topline target?</t>
  </si>
  <si>
    <t xml:space="preserve">🚫 NEVER SAY TO MD</t>
  </si>
  <si>
    <t xml:space="preserve">ROAS / ACOS / CTR / keyword rankings / bid adjustments / negative keywords / campaign structure / ad creatives / match types. These are Priya's world, not the MD's.</t>
  </si>
  <si>
    <t xml:space="preserve">Domain Reference — ROAS, ACOS, TACOS (Learnability Section)</t>
  </si>
  <si>
    <t xml:space="preserve">CONCEPT 1 — ROAS</t>
  </si>
  <si>
    <t xml:space="preserve">What it measures</t>
  </si>
  <si>
    <t xml:space="preserve">Revenue generated per rupee spent on advertising</t>
  </si>
  <si>
    <t xml:space="preserve">Formula</t>
  </si>
  <si>
    <t xml:space="preserve">ROAS = Ad Revenue ÷ Ad Spend</t>
  </si>
  <si>
    <t xml:space="preserve">GlowNest example</t>
  </si>
  <si>
    <t xml:space="preserve">₹12,00,000 ad revenue ÷ ₹3,00,000 ad spend = ROAS of 4.0x</t>
  </si>
  <si>
    <t xml:space="preserve">Why a brand cares</t>
  </si>
  <si>
    <t xml:space="preserve">A brand spending ₹15L/month needs to know: is each rupee coming back as multiple rupees? ROAS tells them immediately.</t>
  </si>
  <si>
    <t xml:space="preserve">What's 'good'?</t>
  </si>
  <si>
    <t xml:space="preserve">Varies by category. Electronics (low margin) needs ROAS 8-10x. Premium skincare (high margin) can operate at ROAS 3-4x. The break-even ROAS = 1/gross margin %.</t>
  </si>
  <si>
    <t xml:space="preserve">CONCEPT 2 — ACOS</t>
  </si>
  <si>
    <t xml:space="preserve">What percentage of ad-attributed sales revenue was spent on advertising</t>
  </si>
  <si>
    <t xml:space="preserve">ACOS = Ad Spend ÷ Ad Revenue × 100</t>
  </si>
  <si>
    <t xml:space="preserve">₹3,00,000 ÷ ₹12,00,000 × 100 = 25% ACOS</t>
  </si>
  <si>
    <t xml:space="preserve">Relationship to ROAS</t>
  </si>
  <si>
    <t xml:space="preserve">ACOS and ROAS are exact mathematical inverses: ACOS = 1/ROAS × 100. ROAS 4.0 = ACOS 25%. Always. They measure the same efficiency from opposite angles.</t>
  </si>
  <si>
    <t xml:space="preserve">High ACOS OK when?</t>
  </si>
  <si>
    <t xml:space="preserve">During launch phase (building rank), entering new keyword categories, or when organic uplift from paid spend is tracked and proven. High ACOS = problem when margin doesn't support it OR when organic sales are not growing alongside paid.</t>
  </si>
  <si>
    <t xml:space="preserve">CONCEPT 3 — TACOS</t>
  </si>
  <si>
    <t xml:space="preserve">Ad spend as a % of TOTAL revenue (organic + paid combined)</t>
  </si>
  <si>
    <t xml:space="preserve">TACOS = Total Ad Spend ÷ Total Revenue (organic + paid) × 100</t>
  </si>
  <si>
    <t xml:space="preserve">₹3,00,000 ÷ ₹28,00,000 × 100 = 10.7% TACOS</t>
  </si>
  <si>
    <t xml:space="preserve">Why better than ACOS</t>
  </si>
  <si>
    <t xml:space="preserve">ACOS only looks at ad-attributed sales — it misses organic. TACOS shows the true cost of advertising across the whole business. A brand can have 'bad' ACOS but excellent TACOS if organic is strong.</t>
  </si>
  <si>
    <t xml:space="preserve">What happens as brand grows?</t>
  </si>
  <si>
    <t xml:space="preserve">As organic sales grow, TACOS falls even with flat ad spend. This is the compounding flywheel: ad spend builds ranking → ranking drives organic → organic dilutes TACOS → margin improves automatically.</t>
  </si>
  <si>
    <t xml:space="preserve">Healthy benchmark</t>
  </si>
  <si>
    <t xml:space="preserve">TACOS &lt; 10% = excellent (brand self-sustaining). 10-15% = healthy. 15-20% = caution. &gt; 20% = unsustainable dependency on paid.</t>
  </si>
  <si>
    <t xml:space="preserve">HOW THEY CONNECT</t>
  </si>
  <si>
    <t xml:space="preserve">The relationship</t>
  </si>
  <si>
    <t xml:space="preserve">ACOS measures paid efficiency. ROAS is its inverse. TACOS measures business health. You can have a 'bad' ACOS but run a healthy business if organic is growing. You can have a 'good' ACOS but terrible TACOS if organic never develops. Smart brands optimize TACOS over time, using ACOS as a tactical dial.</t>
  </si>
  <si>
    <t xml:space="preserve">Teaching example</t>
  </si>
  <si>
    <t xml:space="preserve">Imagine two brands, both spending ₹5L/month on ads:
Brand X: ACOS 20%, but 100% revenue from ads → TACOS 20% → dangerously dependent on paid
Brand Y: ACOS 35%, but 60% revenue from organic → TACOS 14% → healthier, building an asset
Brand Y looks worse on ACOS but is in a far better position.</t>
  </si>
  <si>
    <t xml:space="preserve">Submission Checklist — DT Business Analyst Assignment</t>
  </si>
  <si>
    <t xml:space="preserve">✓</t>
  </si>
  <si>
    <t xml:space="preserve">Deliverable</t>
  </si>
  <si>
    <t xml:space="preserve">Format</t>
  </si>
  <si>
    <t xml:space="preserve">☐</t>
  </si>
  <si>
    <t xml:space="preserve">Learnability Voice Note (ROAS/ACOS/TACOS)</t>
  </si>
  <si>
    <t xml:space="preserve">Audio, 5+ min</t>
  </si>
  <si>
    <t xml:space="preserve">Record last — after thinking through everything</t>
  </si>
  <si>
    <t xml:space="preserve">Hand-Drawn Diagram: Psychology × Tech × Business</t>
  </si>
  <si>
    <t xml:space="preserve">Photo of paper — MANDATORY</t>
  </si>
  <si>
    <t xml:space="preserve">Draw on paper, pen/pencil only. No digital.</t>
  </si>
  <si>
    <t xml:space="preserve">Task 1: GlowNest Viability Analysis (Q1-Q6)</t>
  </si>
  <si>
    <t xml:space="preserve">This spreadsheet</t>
  </si>
  <si>
    <t xml:space="preserve">Tab: Task 1 Answers ✓</t>
  </si>
  <si>
    <t xml:space="preserve">Task 1: Approach Voice Note</t>
  </si>
  <si>
    <t xml:space="preserve">Audio, 2-3 min</t>
  </si>
  <si>
    <t xml:space="preserve">What surprised you? What would you tell the brand?</t>
  </si>
  <si>
    <t xml:space="preserve">Task 2: Dynamic Profitability Model</t>
  </si>
  <si>
    <t xml:space="preserve">Tab: Profitability Model ✓</t>
  </si>
  <si>
    <t xml:space="preserve">Task 3A: Status Update (3 accounts)</t>
  </si>
  <si>
    <t xml:space="preserve">Tab: Task 3A Status Update ✓</t>
  </si>
  <si>
    <t xml:space="preserve">Task 3B: MD Talking Points (NestWell)</t>
  </si>
  <si>
    <t xml:space="preserve">Tab: Task 3B MD Talking Points ✓</t>
  </si>
  <si>
    <t xml:space="preserve">Task 3: Reflection Voice Note</t>
  </si>
  <si>
    <t xml:space="preserve">How did your thinking shift? What info do you need?</t>
  </si>
  <si>
    <t xml:space="preserve">GITHUB CHECKLIST</t>
  </si>
  <si>
    <t xml:space="preserve">Create GitHub repo: dt-ai-ba-assignment</t>
  </si>
  <si>
    <t xml:space="preserve">Public repo</t>
  </si>
  <si>
    <t xml:space="preserve">github.com → New repository</t>
  </si>
  <si>
    <t xml:space="preserve">Upload this Excel file</t>
  </si>
  <si>
    <t xml:space="preserve">.xlsx</t>
  </si>
  <si>
    <t xml:space="preserve">Drag and drop or git push</t>
  </si>
  <si>
    <t xml:space="preserve">Upload voice notes (or link Google Drive)</t>
  </si>
  <si>
    <t xml:space="preserve">Audio files / Drive link</t>
  </si>
  <si>
    <t xml:space="preserve">Create Drive folder first</t>
  </si>
  <si>
    <t xml:space="preserve">Upload hand-drawn diagram photos</t>
  </si>
  <si>
    <t xml:space="preserve">.jpg or .png</t>
  </si>
  <si>
    <t xml:space="preserve">Photo from phone</t>
  </si>
  <si>
    <t xml:space="preserve">Upload README.md</t>
  </si>
  <si>
    <t xml:space="preserve">See README tab</t>
  </si>
  <si>
    <t xml:space="preserve">Copy from README tab in this file</t>
  </si>
  <si>
    <t xml:space="preserve">Set repo to Public</t>
  </si>
  <si>
    <t xml:space="preserve">Settings → Danger Zone → Make public</t>
  </si>
  <si>
    <t xml:space="preserve">GOOGLE DRIVE CHECKLIST</t>
  </si>
  <si>
    <t xml:space="preserve">Create folder: DT-Assignment-[YourName]</t>
  </si>
  <si>
    <t xml:space="preserve">Google Drive</t>
  </si>
  <si>
    <t xml:space="preserve">drive.google.com → New folder</t>
  </si>
  <si>
    <t xml:space="preserve">Upload all voice notes to Drive folder</t>
  </si>
  <si>
    <t xml:space="preserve">Audio files</t>
  </si>
  <si>
    <t xml:space="preserve">3 total</t>
  </si>
  <si>
    <t xml:space="preserve">Images</t>
  </si>
  <si>
    <t xml:space="preserve">2 drawings</t>
  </si>
  <si>
    <t xml:space="preserve">Upload this Excel file to Drive</t>
  </si>
  <si>
    <t xml:space="preserve">Set sharing: Anyone with link can VIEW</t>
  </si>
  <si>
    <t xml:space="preserve">Share settings</t>
  </si>
  <si>
    <t xml:space="preserve">IMPORTANT — must be viewable</t>
  </si>
  <si>
    <t xml:space="preserve">Copy Drive folder link</t>
  </si>
  <si>
    <t xml:space="preserve">URL</t>
  </si>
  <si>
    <t xml:space="preserve">Paste in Internshala submission</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</si>
</sst>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
    <numFmt numFmtId="169" formatCode="0.00\x"/>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FFFFFF"/>
      <name val="Arial"/>
      <family val="0"/>
      <charset val="1"/>
    </font>
    <font>
      <sz val="10"/>
      <color rgb="FF000000"/>
      <name val="Arial"/>
      <family val="0"/>
      <charset val="1"/>
    </font>
    <font>
      <b val="true"/>
      <sz val="11"/>
      <color rgb="FF0000FF"/>
      <name val="Arial"/>
      <family val="0"/>
      <charset val="1"/>
    </font>
    <font>
      <sz val="10"/>
      <color rgb="FF888888"/>
      <name val="Arial"/>
      <family val="0"/>
      <charset val="1"/>
    </font>
    <font>
      <b val="true"/>
      <sz val="10"/>
      <color rgb="FF000000"/>
      <name val="Arial"/>
      <family val="0"/>
      <charset val="1"/>
    </font>
    <font>
      <sz val="10"/>
      <color rgb="FF555555"/>
      <name val="Arial"/>
      <family val="0"/>
      <charset val="1"/>
    </font>
    <font>
      <b val="true"/>
      <sz val="10"/>
      <color rgb="FFFFFFFF"/>
      <name val="Arial"/>
      <family val="0"/>
      <charset val="1"/>
    </font>
    <font>
      <b val="true"/>
      <sz val="15"/>
      <color rgb="FFFFFFFF"/>
      <name val="Arial"/>
      <family val="0"/>
      <charset val="1"/>
    </font>
    <font>
      <b val="true"/>
      <sz val="14"/>
      <color rgb="FFFFFFFF"/>
      <name val="Arial"/>
      <family val="0"/>
      <charset val="1"/>
    </font>
  </fonts>
  <fills count="12">
    <fill>
      <patternFill patternType="none"/>
    </fill>
    <fill>
      <patternFill patternType="gray125"/>
    </fill>
    <fill>
      <patternFill patternType="solid">
        <fgColor rgb="FF1A1A2E"/>
        <bgColor rgb="FF16213E"/>
      </patternFill>
    </fill>
    <fill>
      <patternFill patternType="solid">
        <fgColor rgb="FF0F3460"/>
        <bgColor rgb="FF2C3E50"/>
      </patternFill>
    </fill>
    <fill>
      <patternFill patternType="solid">
        <fgColor rgb="FFEBF5FB"/>
        <bgColor rgb="FFFEF9E7"/>
      </patternFill>
    </fill>
    <fill>
      <patternFill patternType="solid">
        <fgColor rgb="FFFEF9E7"/>
        <bgColor rgb="FFFFFFFF"/>
      </patternFill>
    </fill>
    <fill>
      <patternFill patternType="solid">
        <fgColor rgb="FFD6EAF8"/>
        <bgColor rgb="FFD5F5E3"/>
      </patternFill>
    </fill>
    <fill>
      <patternFill patternType="solid">
        <fgColor rgb="FFD5F5E3"/>
        <bgColor rgb="FFD6EAF8"/>
      </patternFill>
    </fill>
    <fill>
      <patternFill patternType="solid">
        <fgColor rgb="FFA9DFBF"/>
        <bgColor rgb="FFCCCCCC"/>
      </patternFill>
    </fill>
    <fill>
      <patternFill patternType="solid">
        <fgColor rgb="FF16213E"/>
        <bgColor rgb="FF1A1A2E"/>
      </patternFill>
    </fill>
    <fill>
      <patternFill patternType="solid">
        <fgColor rgb="FF2C3E50"/>
        <bgColor rgb="FF0F3460"/>
      </patternFill>
    </fill>
    <fill>
      <patternFill patternType="solid">
        <fgColor rgb="FFFADBD8"/>
        <bgColor rgb="FFFEF9E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888888"/>
      </left>
      <right style="medium">
        <color rgb="FF888888"/>
      </right>
      <top style="medium">
        <color rgb="FF888888"/>
      </top>
      <bottom style="medium">
        <color rgb="FF8888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7" fillId="5" borderId="2"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6" fontId="7" fillId="5" borderId="2" xfId="0" applyFont="true" applyBorder="true" applyAlignment="true" applyProtection="false">
      <alignment horizontal="center" vertical="center" textRotation="0" wrapText="false" indent="0" shrinkToFit="false"/>
      <protection locked="true" hidden="false"/>
    </xf>
    <xf numFmtId="167" fontId="7" fillId="5" borderId="2"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8" fontId="10"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5" fontId="9" fillId="8"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9" fontId="9" fillId="4"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D63031"/>
      </font>
      <fill>
        <patternFill>
          <bgColor rgb="FFFADBD8"/>
        </patternFill>
      </fill>
    </dxf>
    <dxf>
      <font>
        <b val="1"/>
        <color rgb="FF006400"/>
      </font>
      <fill>
        <patternFill>
          <bgColor rgb="FFD5F5E3"/>
        </patternFill>
      </fill>
    </dxf>
    <dxf>
      <font>
        <b val="1"/>
        <color rgb="FF8B6914"/>
      </font>
      <fill>
        <patternFill>
          <bgColor rgb="FFFEF9E7"/>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B6914"/>
      <rgbColor rgb="FF800080"/>
      <rgbColor rgb="FF008080"/>
      <rgbColor rgb="FFCCCCCC"/>
      <rgbColor rgb="FF888888"/>
      <rgbColor rgb="FF9999FF"/>
      <rgbColor rgb="FF993366"/>
      <rgbColor rgb="FFFEF9E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BF5FB"/>
      <rgbColor rgb="FFD5F5E3"/>
      <rgbColor rgb="FFFFFF99"/>
      <rgbColor rgb="FFA9DFBF"/>
      <rgbColor rgb="FFFF99CC"/>
      <rgbColor rgb="FFCC99FF"/>
      <rgbColor rgb="FFFADBD8"/>
      <rgbColor rgb="FF3366FF"/>
      <rgbColor rgb="FF33CCCC"/>
      <rgbColor rgb="FF99CC00"/>
      <rgbColor rgb="FFFFCC00"/>
      <rgbColor rgb="FFFF9900"/>
      <rgbColor rgb="FFFF6600"/>
      <rgbColor rgb="FF555555"/>
      <rgbColor rgb="FF969696"/>
      <rgbColor rgb="FF0F3460"/>
      <rgbColor rgb="FF339966"/>
      <rgbColor rgb="FF16213E"/>
      <rgbColor rgb="FF1A1A2E"/>
      <rgbColor rgb="FFD63031"/>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2"/>
    <col collapsed="false" customWidth="true" hidden="false" outlineLevel="0" max="3" min="3" style="1" width="28"/>
    <col collapsed="false" customWidth="true" hidden="false" outlineLevel="0" max="4" min="4" style="1" width="5"/>
  </cols>
  <sheetData>
    <row r="1" customFormat="false" ht="39.75" hidden="false" customHeight="true" outlineLevel="0" collapsed="false">
      <c r="A1" s="2" t="s">
        <v>0</v>
      </c>
      <c r="B1" s="2"/>
      <c r="C1" s="2"/>
    </row>
    <row r="2" customFormat="false" ht="6" hidden="false" customHeight="true" outlineLevel="0" collapsed="false"/>
    <row r="3" customFormat="false" ht="15" hidden="false" customHeight="true" outlineLevel="0" collapsed="false">
      <c r="A3" s="3" t="s">
        <v>1</v>
      </c>
      <c r="B3" s="3"/>
      <c r="C3" s="3"/>
    </row>
    <row r="4" customFormat="false" ht="21.75" hidden="false" customHeight="true" outlineLevel="0" collapsed="false">
      <c r="A4" s="4" t="s">
        <v>2</v>
      </c>
      <c r="B4" s="5" t="n">
        <v>800</v>
      </c>
      <c r="C4" s="6" t="s">
        <v>3</v>
      </c>
    </row>
    <row r="5" customFormat="false" ht="21.75" hidden="false" customHeight="true" outlineLevel="0" collapsed="false">
      <c r="A5" s="4" t="s">
        <v>4</v>
      </c>
      <c r="B5" s="5" t="n">
        <v>280</v>
      </c>
      <c r="C5" s="6" t="s">
        <v>3</v>
      </c>
    </row>
    <row r="6" customFormat="false" ht="21.75" hidden="false" customHeight="true" outlineLevel="0" collapsed="false">
      <c r="A6" s="4" t="s">
        <v>5</v>
      </c>
      <c r="B6" s="7" t="n">
        <v>0.12</v>
      </c>
      <c r="C6" s="6" t="s">
        <v>3</v>
      </c>
    </row>
    <row r="7" customFormat="false" ht="21.75" hidden="false" customHeight="true" outlineLevel="0" collapsed="false">
      <c r="A7" s="4" t="s">
        <v>6</v>
      </c>
      <c r="B7" s="5" t="n">
        <v>300000</v>
      </c>
      <c r="C7" s="6" t="s">
        <v>3</v>
      </c>
    </row>
    <row r="8" customFormat="false" ht="21.75" hidden="false" customHeight="true" outlineLevel="0" collapsed="false">
      <c r="A8" s="4" t="s">
        <v>7</v>
      </c>
      <c r="B8" s="8" t="n">
        <v>1500</v>
      </c>
      <c r="C8" s="6" t="s">
        <v>3</v>
      </c>
    </row>
    <row r="9" customFormat="false" ht="21.75" hidden="false" customHeight="true" outlineLevel="0" collapsed="false">
      <c r="A9" s="4" t="s">
        <v>8</v>
      </c>
      <c r="B9" s="8" t="n">
        <v>2000</v>
      </c>
      <c r="C9" s="6" t="s">
        <v>3</v>
      </c>
    </row>
    <row r="10" customFormat="false" ht="21.75" hidden="false" customHeight="true" outlineLevel="0" collapsed="false">
      <c r="A10" s="4" t="s">
        <v>9</v>
      </c>
      <c r="B10" s="5" t="n">
        <v>150000</v>
      </c>
      <c r="C10" s="6" t="s">
        <v>3</v>
      </c>
    </row>
    <row r="12" customFormat="false" ht="6" hidden="false" customHeight="true" outlineLevel="0" collapsed="false"/>
    <row r="13" customFormat="false" ht="30" hidden="false" customHeight="true" outlineLevel="0" collapsed="false">
      <c r="A13" s="3" t="s">
        <v>10</v>
      </c>
      <c r="B13" s="3"/>
      <c r="C13" s="3"/>
    </row>
    <row r="14" customFormat="false" ht="21.75" hidden="false" customHeight="true" outlineLevel="0" collapsed="false">
      <c r="A14" s="9" t="s">
        <v>11</v>
      </c>
      <c r="B14" s="10" t="n">
        <f aca="false">B4-B5</f>
        <v>520</v>
      </c>
      <c r="C14" s="11" t="s">
        <v>12</v>
      </c>
    </row>
    <row r="15" customFormat="false" ht="21.75" hidden="false" customHeight="true" outlineLevel="0" collapsed="false">
      <c r="A15" s="9" t="s">
        <v>13</v>
      </c>
      <c r="B15" s="10" t="n">
        <f aca="false">B4*B6</f>
        <v>96</v>
      </c>
      <c r="C15" s="11" t="s">
        <v>14</v>
      </c>
    </row>
    <row r="16" customFormat="false" ht="21.75" hidden="false" customHeight="true" outlineLevel="0" collapsed="false">
      <c r="A16" s="9" t="s">
        <v>15</v>
      </c>
      <c r="B16" s="10" t="n">
        <f aca="false">IF(B8&gt;0,B7/B8,0)</f>
        <v>200</v>
      </c>
      <c r="C16" s="11" t="s">
        <v>16</v>
      </c>
    </row>
    <row r="17" customFormat="false" ht="21.75" hidden="false" customHeight="true" outlineLevel="0" collapsed="false">
      <c r="A17" s="9" t="s">
        <v>17</v>
      </c>
      <c r="B17" s="10" t="n">
        <f aca="false">(B4-B5)-(B4*B6)-IF(B8&gt;0,B7/B8,0)</f>
        <v>224</v>
      </c>
      <c r="C17" s="11" t="s">
        <v>18</v>
      </c>
    </row>
    <row r="18" customFormat="false" ht="21.75" hidden="false" customHeight="true" outlineLevel="0" collapsed="false">
      <c r="A18" s="9" t="s">
        <v>19</v>
      </c>
      <c r="B18" s="10" t="n">
        <f aca="false">(B4-B5)-(B4*B6)</f>
        <v>424</v>
      </c>
      <c r="C18" s="11" t="s">
        <v>20</v>
      </c>
    </row>
    <row r="20" customFormat="false" ht="6" hidden="false" customHeight="true" outlineLevel="0" collapsed="false"/>
    <row r="21" customFormat="false" ht="30" hidden="false" customHeight="true" outlineLevel="0" collapsed="false">
      <c r="A21" s="3" t="s">
        <v>21</v>
      </c>
      <c r="B21" s="3"/>
      <c r="C21" s="3"/>
    </row>
    <row r="22" customFormat="false" ht="21.75" hidden="false" customHeight="true" outlineLevel="0" collapsed="false">
      <c r="A22" s="4" t="s">
        <v>22</v>
      </c>
      <c r="B22" s="12" t="n">
        <f aca="false">B4*B8</f>
        <v>1200000</v>
      </c>
      <c r="C22" s="13" t="s">
        <v>23</v>
      </c>
    </row>
    <row r="23" customFormat="false" ht="21.75" hidden="false" customHeight="true" outlineLevel="0" collapsed="false">
      <c r="A23" s="4" t="s">
        <v>24</v>
      </c>
      <c r="B23" s="12" t="n">
        <f aca="false">B4*B9</f>
        <v>1600000</v>
      </c>
      <c r="C23" s="13" t="s">
        <v>25</v>
      </c>
    </row>
    <row r="24" customFormat="false" ht="21.75" hidden="false" customHeight="true" outlineLevel="0" collapsed="false">
      <c r="A24" s="14" t="s">
        <v>26</v>
      </c>
      <c r="B24" s="15" t="n">
        <f aca="false">B4*(B8+B9)</f>
        <v>2800000</v>
      </c>
      <c r="C24" s="13" t="s">
        <v>27</v>
      </c>
    </row>
    <row r="25" customFormat="false" ht="21.75" hidden="false" customHeight="true" outlineLevel="0" collapsed="false">
      <c r="A25" s="4" t="s">
        <v>28</v>
      </c>
      <c r="B25" s="12" t="n">
        <f aca="false">B17*B8</f>
        <v>336000</v>
      </c>
      <c r="C25" s="13" t="s">
        <v>29</v>
      </c>
    </row>
    <row r="26" customFormat="false" ht="21.75" hidden="false" customHeight="true" outlineLevel="0" collapsed="false">
      <c r="A26" s="4" t="s">
        <v>30</v>
      </c>
      <c r="B26" s="12" t="n">
        <f aca="false">B18*B9</f>
        <v>848000</v>
      </c>
      <c r="C26" s="13" t="s">
        <v>31</v>
      </c>
    </row>
    <row r="27" customFormat="false" ht="21.75" hidden="false" customHeight="true" outlineLevel="0" collapsed="false">
      <c r="A27" s="14" t="s">
        <v>32</v>
      </c>
      <c r="B27" s="15" t="n">
        <f aca="false">B25+B26</f>
        <v>1184000</v>
      </c>
      <c r="C27" s="13" t="s">
        <v>33</v>
      </c>
    </row>
    <row r="28" customFormat="false" ht="21.75" hidden="false" customHeight="true" outlineLevel="0" collapsed="false">
      <c r="A28" s="4" t="s">
        <v>34</v>
      </c>
      <c r="B28" s="12" t="n">
        <f aca="false">B10</f>
        <v>150000</v>
      </c>
      <c r="C28" s="13" t="s">
        <v>35</v>
      </c>
    </row>
    <row r="29" customFormat="false" ht="21.75" hidden="false" customHeight="true" outlineLevel="0" collapsed="false">
      <c r="A29" s="14" t="s">
        <v>36</v>
      </c>
      <c r="B29" s="15" t="n">
        <f aca="false">B27-B28</f>
        <v>1034000</v>
      </c>
      <c r="C29" s="13" t="s">
        <v>37</v>
      </c>
    </row>
    <row r="32" customFormat="false" ht="6" hidden="false" customHeight="true" outlineLevel="0" collapsed="false"/>
    <row r="33" customFormat="false" ht="30" hidden="false" customHeight="true" outlineLevel="0" collapsed="false">
      <c r="A33" s="3" t="s">
        <v>38</v>
      </c>
      <c r="B33" s="3"/>
      <c r="C33" s="3"/>
    </row>
    <row r="34" customFormat="false" ht="21.75" hidden="false" customHeight="true" outlineLevel="0" collapsed="false">
      <c r="A34" s="4" t="s">
        <v>39</v>
      </c>
      <c r="B34" s="16" t="n">
        <f aca="false">IF(B8&gt;0,B7/(B4*B8),0)</f>
        <v>0.25</v>
      </c>
      <c r="C34" s="13" t="s">
        <v>40</v>
      </c>
    </row>
    <row r="35" customFormat="false" ht="21.75" hidden="false" customHeight="true" outlineLevel="0" collapsed="false">
      <c r="A35" s="4" t="s">
        <v>41</v>
      </c>
      <c r="B35" s="16" t="n">
        <f aca="false">IF(B24&gt;0,B7/B24,0)</f>
        <v>0.107142857142857</v>
      </c>
      <c r="C35" s="13" t="s">
        <v>42</v>
      </c>
    </row>
    <row r="36" customFormat="false" ht="21.75" hidden="false" customHeight="true" outlineLevel="0" collapsed="false">
      <c r="A36" s="4" t="s">
        <v>43</v>
      </c>
      <c r="B36" s="17" t="n">
        <f aca="false">IF(B7&gt;0,(B4*B8)/B7,0)</f>
        <v>4</v>
      </c>
      <c r="C36" s="13" t="s">
        <v>44</v>
      </c>
    </row>
    <row r="37" customFormat="false" ht="21.75" hidden="false" customHeight="true" outlineLevel="0" collapsed="false">
      <c r="A37" s="4" t="s">
        <v>45</v>
      </c>
      <c r="B37" s="10" t="n">
        <f aca="false">(B18*B9)-B10+(B18*B8)</f>
        <v>1334000</v>
      </c>
      <c r="C37" s="13" t="s">
        <v>46</v>
      </c>
    </row>
    <row r="38" customFormat="false" ht="21.75" hidden="false" customHeight="true" outlineLevel="0" collapsed="false">
      <c r="A38" s="4" t="s">
        <v>47</v>
      </c>
      <c r="B38" s="16" t="n">
        <f aca="false">IF(B8&gt;0,((B18*B9-B10+B18*B8)/(B4*B8)),0)</f>
        <v>1.11166666666667</v>
      </c>
      <c r="C38" s="13" t="s">
        <v>48</v>
      </c>
    </row>
    <row r="39" customFormat="false" ht="21.75" hidden="false" customHeight="true" outlineLevel="0" collapsed="false">
      <c r="A39" s="4" t="s">
        <v>49</v>
      </c>
      <c r="B39" s="16" t="n">
        <f aca="false">IF(B24&gt;0,B29/B24,0)</f>
        <v>0.369285714285714</v>
      </c>
      <c r="C39" s="13" t="s">
        <v>50</v>
      </c>
    </row>
  </sheetData>
  <mergeCells count="5">
    <mergeCell ref="A1:C1"/>
    <mergeCell ref="A3:C3"/>
    <mergeCell ref="A13:C13"/>
    <mergeCell ref="A21:C21"/>
    <mergeCell ref="A33:C33"/>
  </mergeCells>
  <conditionalFormatting sqref="B29">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B35">
    <cfRule type="cellIs" priority="4" operator="greaterThan" aboveAverage="0" equalAverage="0" bottom="0" percent="0" rank="0" text="" dxfId="0">
      <formula>0.2</formula>
    </cfRule>
    <cfRule type="cellIs" priority="5" operator="between" aboveAverage="0" equalAverage="0" bottom="0" percent="0" rank="0" text="" dxfId="2">
      <formula>0.15</formula>
      <formula>0.2</formula>
    </cfRule>
    <cfRule type="cellIs" priority="6" operator="lessThanOrEqual" aboveAverage="0" equalAverage="0" bottom="0" percent="0" rank="0" text="" dxfId="1">
      <formula>0.15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2" min="2" style="1" width="20"/>
    <col collapsed="false" customWidth="true" hidden="false" outlineLevel="0" max="3" min="3" style="1" width="40"/>
  </cols>
  <sheetData>
    <row r="1" customFormat="false" ht="39.75" hidden="false" customHeight="true" outlineLevel="0" collapsed="false">
      <c r="A1" s="2" t="s">
        <v>51</v>
      </c>
      <c r="B1" s="2"/>
      <c r="C1" s="2"/>
    </row>
    <row r="3" customFormat="false" ht="27.75" hidden="false" customHeight="true" outlineLevel="0" collapsed="false">
      <c r="A3" s="3" t="s">
        <v>52</v>
      </c>
      <c r="B3" s="3"/>
      <c r="C3" s="3"/>
    </row>
    <row r="4" customFormat="false" ht="19.5" hidden="false" customHeight="true" outlineLevel="0" collapsed="false">
      <c r="A4" s="18" t="s">
        <v>53</v>
      </c>
      <c r="B4" s="18" t="s">
        <v>54</v>
      </c>
      <c r="C4" s="18" t="s">
        <v>55</v>
      </c>
    </row>
    <row r="5" customFormat="false" ht="30" hidden="false" customHeight="true" outlineLevel="0" collapsed="false">
      <c r="A5" s="19" t="s">
        <v>11</v>
      </c>
      <c r="B5" s="20" t="s">
        <v>56</v>
      </c>
      <c r="C5" s="19" t="s">
        <v>57</v>
      </c>
    </row>
    <row r="6" customFormat="false" ht="30" hidden="false" customHeight="true" outlineLevel="0" collapsed="false">
      <c r="A6" s="19" t="s">
        <v>58</v>
      </c>
      <c r="B6" s="20" t="s">
        <v>59</v>
      </c>
      <c r="C6" s="19" t="s">
        <v>60</v>
      </c>
    </row>
    <row r="7" customFormat="false" ht="30" hidden="false" customHeight="true" outlineLevel="0" collapsed="false">
      <c r="A7" s="19" t="s">
        <v>15</v>
      </c>
      <c r="B7" s="20" t="s">
        <v>61</v>
      </c>
      <c r="C7" s="19" t="s">
        <v>62</v>
      </c>
    </row>
    <row r="8" customFormat="false" ht="30" hidden="false" customHeight="true" outlineLevel="0" collapsed="false">
      <c r="A8" s="19" t="s">
        <v>17</v>
      </c>
      <c r="B8" s="20" t="s">
        <v>63</v>
      </c>
      <c r="C8" s="19" t="s">
        <v>64</v>
      </c>
    </row>
    <row r="9" customFormat="false" ht="30" hidden="false" customHeight="true" outlineLevel="0" collapsed="false">
      <c r="A9" s="19" t="s">
        <v>19</v>
      </c>
      <c r="B9" s="20" t="s">
        <v>65</v>
      </c>
      <c r="C9" s="19" t="s">
        <v>66</v>
      </c>
    </row>
    <row r="12" customFormat="false" ht="27.75" hidden="false" customHeight="true" outlineLevel="0" collapsed="false">
      <c r="A12" s="3" t="s">
        <v>67</v>
      </c>
      <c r="B12" s="3"/>
      <c r="C12" s="3"/>
    </row>
    <row r="13" customFormat="false" ht="19.5" hidden="false" customHeight="true" outlineLevel="0" collapsed="false">
      <c r="A13" s="18" t="s">
        <v>53</v>
      </c>
      <c r="B13" s="18" t="s">
        <v>54</v>
      </c>
      <c r="C13" s="18" t="s">
        <v>55</v>
      </c>
    </row>
    <row r="14" customFormat="false" ht="30" hidden="false" customHeight="true" outlineLevel="0" collapsed="false">
      <c r="A14" s="19" t="s">
        <v>68</v>
      </c>
      <c r="B14" s="20" t="s">
        <v>69</v>
      </c>
      <c r="C14" s="19" t="s">
        <v>70</v>
      </c>
    </row>
    <row r="15" customFormat="false" ht="30" hidden="false" customHeight="true" outlineLevel="0" collapsed="false">
      <c r="A15" s="19" t="s">
        <v>71</v>
      </c>
      <c r="B15" s="20" t="s">
        <v>72</v>
      </c>
      <c r="C15" s="19" t="s">
        <v>73</v>
      </c>
    </row>
    <row r="16" customFormat="false" ht="30" hidden="false" customHeight="true" outlineLevel="0" collapsed="false">
      <c r="A16" s="19" t="s">
        <v>32</v>
      </c>
      <c r="B16" s="20"/>
      <c r="C16" s="19" t="s">
        <v>74</v>
      </c>
    </row>
    <row r="17" customFormat="false" ht="30" hidden="false" customHeight="true" outlineLevel="0" collapsed="false">
      <c r="A17" s="19" t="s">
        <v>75</v>
      </c>
      <c r="B17" s="20"/>
      <c r="C17" s="19" t="s">
        <v>76</v>
      </c>
    </row>
    <row r="18" customFormat="false" ht="30" hidden="false" customHeight="true" outlineLevel="0" collapsed="false">
      <c r="A18" s="14" t="s">
        <v>36</v>
      </c>
      <c r="B18" s="21"/>
      <c r="C18" s="14" t="s">
        <v>77</v>
      </c>
    </row>
    <row r="21" customFormat="false" ht="27.75" hidden="false" customHeight="true" outlineLevel="0" collapsed="false">
      <c r="A21" s="3" t="s">
        <v>78</v>
      </c>
      <c r="B21" s="3"/>
      <c r="C21" s="3"/>
    </row>
    <row r="22" customFormat="false" ht="19.5" hidden="false" customHeight="true" outlineLevel="0" collapsed="false">
      <c r="A22" s="18" t="s">
        <v>53</v>
      </c>
      <c r="B22" s="18" t="s">
        <v>54</v>
      </c>
      <c r="C22" s="18" t="s">
        <v>55</v>
      </c>
    </row>
    <row r="23" customFormat="false" ht="30" hidden="false" customHeight="true" outlineLevel="0" collapsed="false">
      <c r="A23" s="19" t="s">
        <v>79</v>
      </c>
      <c r="B23" s="20" t="s">
        <v>80</v>
      </c>
      <c r="C23" s="19" t="s">
        <v>81</v>
      </c>
    </row>
    <row r="24" customFormat="false" ht="30" hidden="false" customHeight="true" outlineLevel="0" collapsed="false">
      <c r="A24" s="19" t="s">
        <v>82</v>
      </c>
      <c r="B24" s="20" t="s">
        <v>83</v>
      </c>
      <c r="C24" s="19" t="s">
        <v>84</v>
      </c>
    </row>
    <row r="25" customFormat="false" ht="30" hidden="false" customHeight="true" outlineLevel="0" collapsed="false">
      <c r="A25" s="19" t="s">
        <v>26</v>
      </c>
      <c r="B25" s="20" t="s">
        <v>85</v>
      </c>
      <c r="C25" s="19" t="s">
        <v>86</v>
      </c>
    </row>
    <row r="26" customFormat="false" ht="30" hidden="false" customHeight="true" outlineLevel="0" collapsed="false">
      <c r="A26" s="19" t="s">
        <v>87</v>
      </c>
      <c r="B26" s="20" t="s">
        <v>88</v>
      </c>
      <c r="C26" s="19" t="s">
        <v>89</v>
      </c>
    </row>
    <row r="27" customFormat="false" ht="30" hidden="false" customHeight="true" outlineLevel="0" collapsed="false">
      <c r="A27" s="22" t="s">
        <v>90</v>
      </c>
      <c r="B27" s="23"/>
      <c r="C27" s="22" t="s">
        <v>91</v>
      </c>
    </row>
    <row r="30" customFormat="false" ht="27.75" hidden="false" customHeight="true" outlineLevel="0" collapsed="false">
      <c r="A30" s="3" t="s">
        <v>92</v>
      </c>
      <c r="B30" s="3"/>
      <c r="C30" s="3"/>
    </row>
    <row r="31" customFormat="false" ht="19.5" hidden="false" customHeight="true" outlineLevel="0" collapsed="false">
      <c r="A31" s="18" t="s">
        <v>53</v>
      </c>
      <c r="B31" s="18" t="s">
        <v>54</v>
      </c>
      <c r="C31" s="18" t="s">
        <v>55</v>
      </c>
    </row>
    <row r="32" customFormat="false" ht="30" hidden="false" customHeight="true" outlineLevel="0" collapsed="false">
      <c r="A32" s="19" t="s">
        <v>93</v>
      </c>
      <c r="B32" s="20" t="s">
        <v>94</v>
      </c>
      <c r="C32" s="19" t="s">
        <v>95</v>
      </c>
    </row>
    <row r="33" customFormat="false" ht="30" hidden="false" customHeight="true" outlineLevel="0" collapsed="false">
      <c r="A33" s="19" t="s">
        <v>96</v>
      </c>
      <c r="B33" s="20" t="s">
        <v>97</v>
      </c>
      <c r="C33" s="19" t="s">
        <v>98</v>
      </c>
    </row>
    <row r="34" customFormat="false" ht="30" hidden="false" customHeight="true" outlineLevel="0" collapsed="false">
      <c r="A34" s="19" t="s">
        <v>45</v>
      </c>
      <c r="B34" s="20" t="s">
        <v>99</v>
      </c>
      <c r="C34" s="19" t="s">
        <v>100</v>
      </c>
    </row>
    <row r="35" customFormat="false" ht="30" hidden="false" customHeight="true" outlineLevel="0" collapsed="false">
      <c r="A35" s="19" t="s">
        <v>47</v>
      </c>
      <c r="B35" s="20" t="s">
        <v>101</v>
      </c>
      <c r="C35" s="19" t="s">
        <v>102</v>
      </c>
    </row>
    <row r="36" customFormat="false" ht="30" hidden="false" customHeight="true" outlineLevel="0" collapsed="false">
      <c r="A36" s="22" t="s">
        <v>103</v>
      </c>
      <c r="B36" s="23"/>
      <c r="C36" s="22" t="s">
        <v>104</v>
      </c>
    </row>
    <row r="39" customFormat="false" ht="27.75" hidden="false" customHeight="true" outlineLevel="0" collapsed="false">
      <c r="A39" s="3" t="s">
        <v>105</v>
      </c>
      <c r="B39" s="3"/>
      <c r="C39" s="3"/>
    </row>
    <row r="40" customFormat="false" ht="19.5" hidden="false" customHeight="true" outlineLevel="0" collapsed="false">
      <c r="A40" s="18" t="s">
        <v>53</v>
      </c>
      <c r="B40" s="18" t="s">
        <v>54</v>
      </c>
      <c r="C40" s="18" t="s">
        <v>55</v>
      </c>
    </row>
    <row r="41" customFormat="false" ht="30" hidden="false" customHeight="true" outlineLevel="0" collapsed="false">
      <c r="A41" s="19" t="s">
        <v>106</v>
      </c>
      <c r="B41" s="20"/>
      <c r="C41" s="19" t="s">
        <v>107</v>
      </c>
    </row>
    <row r="42" customFormat="false" ht="30" hidden="false" customHeight="true" outlineLevel="0" collapsed="false">
      <c r="A42" s="19" t="s">
        <v>15</v>
      </c>
      <c r="B42" s="20" t="s">
        <v>108</v>
      </c>
      <c r="C42" s="19" t="s">
        <v>109</v>
      </c>
    </row>
    <row r="43" customFormat="false" ht="30" hidden="false" customHeight="true" outlineLevel="0" collapsed="false">
      <c r="A43" s="19" t="s">
        <v>17</v>
      </c>
      <c r="B43" s="20" t="s">
        <v>110</v>
      </c>
      <c r="C43" s="19" t="s">
        <v>111</v>
      </c>
    </row>
    <row r="44" customFormat="false" ht="30" hidden="false" customHeight="true" outlineLevel="0" collapsed="false">
      <c r="A44" s="19" t="s">
        <v>112</v>
      </c>
      <c r="B44" s="20" t="s">
        <v>113</v>
      </c>
      <c r="C44" s="19" t="s">
        <v>114</v>
      </c>
    </row>
    <row r="45" customFormat="false" ht="30" hidden="false" customHeight="true" outlineLevel="0" collapsed="false">
      <c r="A45" s="19" t="s">
        <v>115</v>
      </c>
      <c r="B45" s="20" t="s">
        <v>116</v>
      </c>
      <c r="C45" s="19" t="s">
        <v>117</v>
      </c>
    </row>
    <row r="46" customFormat="false" ht="30" hidden="false" customHeight="true" outlineLevel="0" collapsed="false">
      <c r="A46" s="22" t="s">
        <v>118</v>
      </c>
      <c r="B46" s="23"/>
      <c r="C46" s="22" t="s">
        <v>119</v>
      </c>
    </row>
    <row r="49" customFormat="false" ht="27.75" hidden="false" customHeight="true" outlineLevel="0" collapsed="false">
      <c r="A49" s="3" t="s">
        <v>120</v>
      </c>
      <c r="B49" s="3"/>
      <c r="C49" s="3"/>
    </row>
    <row r="50" customFormat="false" ht="19.5" hidden="false" customHeight="true" outlineLevel="0" collapsed="false">
      <c r="A50" s="18" t="s">
        <v>53</v>
      </c>
      <c r="B50" s="18" t="s">
        <v>54</v>
      </c>
      <c r="C50" s="18" t="s">
        <v>55</v>
      </c>
    </row>
    <row r="51" customFormat="false" ht="30" hidden="false" customHeight="true" outlineLevel="0" collapsed="false">
      <c r="A51" s="19" t="s">
        <v>15</v>
      </c>
      <c r="B51" s="20" t="s">
        <v>121</v>
      </c>
      <c r="C51" s="19" t="s">
        <v>122</v>
      </c>
    </row>
    <row r="52" customFormat="false" ht="30" hidden="false" customHeight="true" outlineLevel="0" collapsed="false">
      <c r="A52" s="19" t="s">
        <v>17</v>
      </c>
      <c r="B52" s="20" t="s">
        <v>123</v>
      </c>
      <c r="C52" s="19" t="s">
        <v>124</v>
      </c>
    </row>
    <row r="53" customFormat="false" ht="30" hidden="false" customHeight="true" outlineLevel="0" collapsed="false">
      <c r="A53" s="19" t="s">
        <v>82</v>
      </c>
      <c r="B53" s="20" t="s">
        <v>125</v>
      </c>
      <c r="C53" s="19" t="s">
        <v>126</v>
      </c>
    </row>
    <row r="54" customFormat="false" ht="30" hidden="false" customHeight="true" outlineLevel="0" collapsed="false">
      <c r="A54" s="19" t="s">
        <v>87</v>
      </c>
      <c r="B54" s="20" t="s">
        <v>127</v>
      </c>
      <c r="C54" s="19" t="s">
        <v>128</v>
      </c>
    </row>
    <row r="55" customFormat="false" ht="30" hidden="false" customHeight="true" outlineLevel="0" collapsed="false">
      <c r="A55" s="19" t="s">
        <v>112</v>
      </c>
      <c r="B55" s="20" t="s">
        <v>129</v>
      </c>
      <c r="C55" s="19" t="s">
        <v>130</v>
      </c>
    </row>
    <row r="56" customFormat="false" ht="30" hidden="false" customHeight="true" outlineLevel="0" collapsed="false">
      <c r="A56" s="19" t="s">
        <v>131</v>
      </c>
      <c r="B56" s="20" t="s">
        <v>132</v>
      </c>
      <c r="C56" s="19" t="s">
        <v>133</v>
      </c>
    </row>
    <row r="57" customFormat="false" ht="30" hidden="false" customHeight="true" outlineLevel="0" collapsed="false">
      <c r="A57" s="22" t="s">
        <v>118</v>
      </c>
      <c r="B57" s="23"/>
      <c r="C57" s="22" t="s">
        <v>134</v>
      </c>
    </row>
  </sheetData>
  <mergeCells count="7">
    <mergeCell ref="A1:C1"/>
    <mergeCell ref="A3:C3"/>
    <mergeCell ref="A12:C12"/>
    <mergeCell ref="A21:C21"/>
    <mergeCell ref="A30:C30"/>
    <mergeCell ref="A39:C39"/>
    <mergeCell ref="A49:C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8" min="2" style="1" width="14"/>
  </cols>
  <sheetData>
    <row r="1" customFormat="false" ht="39.75" hidden="false" customHeight="true" outlineLevel="0" collapsed="false">
      <c r="A1" s="24" t="s">
        <v>135</v>
      </c>
      <c r="B1" s="24"/>
      <c r="C1" s="24"/>
      <c r="D1" s="24"/>
      <c r="E1" s="24"/>
      <c r="F1" s="24"/>
      <c r="G1" s="24"/>
      <c r="H1" s="24"/>
    </row>
    <row r="2" customFormat="false" ht="27.75" hidden="false" customHeight="true" outlineLevel="0" collapsed="false">
      <c r="A2" s="3" t="s">
        <v>136</v>
      </c>
      <c r="B2" s="25" t="s">
        <v>137</v>
      </c>
      <c r="C2" s="25" t="s">
        <v>138</v>
      </c>
      <c r="D2" s="25" t="s">
        <v>139</v>
      </c>
      <c r="E2" s="25" t="s">
        <v>140</v>
      </c>
      <c r="F2" s="25" t="s">
        <v>141</v>
      </c>
      <c r="G2" s="25" t="s">
        <v>142</v>
      </c>
      <c r="H2" s="25" t="s">
        <v>143</v>
      </c>
    </row>
    <row r="3" customFormat="false" ht="27.75" hidden="false" customHeight="true" outlineLevel="0" collapsed="false">
      <c r="A3" s="26" t="s">
        <v>144</v>
      </c>
      <c r="B3" s="26"/>
      <c r="C3" s="26"/>
      <c r="D3" s="26"/>
      <c r="E3" s="26"/>
      <c r="F3" s="26"/>
      <c r="G3" s="26"/>
      <c r="H3" s="26"/>
    </row>
    <row r="4" customFormat="false" ht="27.75" hidden="false" customHeight="true" outlineLevel="0" collapsed="false">
      <c r="A4" s="4" t="s">
        <v>145</v>
      </c>
      <c r="B4" s="20" t="s">
        <v>146</v>
      </c>
      <c r="C4" s="20" t="s">
        <v>146</v>
      </c>
      <c r="D4" s="20" t="s">
        <v>146</v>
      </c>
      <c r="E4" s="20" t="s">
        <v>147</v>
      </c>
      <c r="F4" s="20" t="s">
        <v>146</v>
      </c>
      <c r="G4" s="20" t="s">
        <v>146</v>
      </c>
      <c r="H4" s="20" t="s">
        <v>148</v>
      </c>
    </row>
    <row r="5" customFormat="false" ht="27.75" hidden="false" customHeight="true" outlineLevel="0" collapsed="false">
      <c r="A5" s="4" t="s">
        <v>149</v>
      </c>
      <c r="B5" s="20" t="s">
        <v>150</v>
      </c>
      <c r="C5" s="20" t="s">
        <v>150</v>
      </c>
      <c r="D5" s="20" t="s">
        <v>150</v>
      </c>
      <c r="E5" s="20" t="s">
        <v>150</v>
      </c>
      <c r="F5" s="20" t="s">
        <v>151</v>
      </c>
      <c r="G5" s="20" t="s">
        <v>150</v>
      </c>
      <c r="H5" s="20" t="s">
        <v>150</v>
      </c>
    </row>
    <row r="6" customFormat="false" ht="27.75" hidden="false" customHeight="true" outlineLevel="0" collapsed="false">
      <c r="A6" s="4" t="s">
        <v>152</v>
      </c>
      <c r="B6" s="20" t="s">
        <v>153</v>
      </c>
      <c r="C6" s="20" t="s">
        <v>153</v>
      </c>
      <c r="D6" s="20" t="s">
        <v>153</v>
      </c>
      <c r="E6" s="20" t="s">
        <v>153</v>
      </c>
      <c r="F6" s="20" t="s">
        <v>153</v>
      </c>
      <c r="G6" s="20" t="s">
        <v>153</v>
      </c>
      <c r="H6" s="20" t="s">
        <v>153</v>
      </c>
    </row>
    <row r="7" customFormat="false" ht="27.75" hidden="false" customHeight="true" outlineLevel="0" collapsed="false">
      <c r="A7" s="4" t="s">
        <v>154</v>
      </c>
      <c r="B7" s="20" t="s">
        <v>155</v>
      </c>
      <c r="C7" s="20" t="s">
        <v>107</v>
      </c>
      <c r="D7" s="20" t="s">
        <v>156</v>
      </c>
      <c r="E7" s="20" t="s">
        <v>155</v>
      </c>
      <c r="F7" s="20" t="s">
        <v>155</v>
      </c>
      <c r="G7" s="20" t="s">
        <v>155</v>
      </c>
      <c r="H7" s="20" t="s">
        <v>155</v>
      </c>
    </row>
    <row r="8" customFormat="false" ht="27.75" hidden="false" customHeight="true" outlineLevel="0" collapsed="false">
      <c r="A8" s="4" t="s">
        <v>157</v>
      </c>
      <c r="B8" s="20" t="s">
        <v>158</v>
      </c>
      <c r="C8" s="20" t="s">
        <v>159</v>
      </c>
      <c r="D8" s="20" t="s">
        <v>160</v>
      </c>
      <c r="E8" s="20" t="s">
        <v>158</v>
      </c>
      <c r="F8" s="20" t="s">
        <v>158</v>
      </c>
      <c r="G8" s="20" t="s">
        <v>158</v>
      </c>
      <c r="H8" s="20" t="s">
        <v>158</v>
      </c>
    </row>
    <row r="9" customFormat="false" ht="27.75" hidden="false" customHeight="true" outlineLevel="0" collapsed="false">
      <c r="A9" s="4" t="s">
        <v>161</v>
      </c>
      <c r="B9" s="20" t="s">
        <v>162</v>
      </c>
      <c r="C9" s="20" t="s">
        <v>162</v>
      </c>
      <c r="D9" s="20" t="s">
        <v>162</v>
      </c>
      <c r="E9" s="20" t="s">
        <v>162</v>
      </c>
      <c r="F9" s="20" t="s">
        <v>162</v>
      </c>
      <c r="G9" s="20" t="s">
        <v>163</v>
      </c>
      <c r="H9" s="20" t="s">
        <v>162</v>
      </c>
    </row>
    <row r="10" customFormat="false" ht="27.75" hidden="false" customHeight="true" outlineLevel="0" collapsed="false">
      <c r="A10" s="4" t="s">
        <v>34</v>
      </c>
      <c r="B10" s="20" t="s">
        <v>164</v>
      </c>
      <c r="C10" s="20" t="s">
        <v>164</v>
      </c>
      <c r="D10" s="20" t="s">
        <v>164</v>
      </c>
      <c r="E10" s="20" t="s">
        <v>164</v>
      </c>
      <c r="F10" s="20" t="s">
        <v>164</v>
      </c>
      <c r="G10" s="20" t="s">
        <v>164</v>
      </c>
      <c r="H10" s="20" t="s">
        <v>164</v>
      </c>
    </row>
    <row r="11" customFormat="false" ht="27.75" hidden="false" customHeight="true" outlineLevel="0" collapsed="false">
      <c r="A11" s="26" t="s">
        <v>165</v>
      </c>
      <c r="B11" s="26"/>
      <c r="C11" s="26"/>
      <c r="D11" s="26"/>
      <c r="E11" s="26"/>
      <c r="F11" s="26"/>
      <c r="G11" s="26"/>
      <c r="H11" s="26"/>
    </row>
    <row r="12" customFormat="false" ht="27.75" hidden="false" customHeight="true" outlineLevel="0" collapsed="false">
      <c r="A12" s="4" t="s">
        <v>166</v>
      </c>
      <c r="B12" s="20" t="s">
        <v>57</v>
      </c>
      <c r="C12" s="20" t="s">
        <v>57</v>
      </c>
      <c r="D12" s="20" t="s">
        <v>57</v>
      </c>
      <c r="E12" s="20" t="s">
        <v>167</v>
      </c>
      <c r="F12" s="20" t="s">
        <v>168</v>
      </c>
      <c r="G12" s="20" t="s">
        <v>57</v>
      </c>
      <c r="H12" s="20" t="s">
        <v>169</v>
      </c>
    </row>
    <row r="13" customFormat="false" ht="27.75" hidden="false" customHeight="true" outlineLevel="0" collapsed="false">
      <c r="A13" s="4" t="s">
        <v>170</v>
      </c>
      <c r="B13" s="20" t="s">
        <v>60</v>
      </c>
      <c r="C13" s="20" t="s">
        <v>60</v>
      </c>
      <c r="D13" s="20" t="s">
        <v>60</v>
      </c>
      <c r="E13" s="20" t="s">
        <v>171</v>
      </c>
      <c r="F13" s="20" t="s">
        <v>60</v>
      </c>
      <c r="G13" s="20" t="s">
        <v>60</v>
      </c>
      <c r="H13" s="20" t="s">
        <v>172</v>
      </c>
    </row>
    <row r="14" customFormat="false" ht="27.75" hidden="false" customHeight="true" outlineLevel="0" collapsed="false">
      <c r="A14" s="4" t="s">
        <v>173</v>
      </c>
      <c r="B14" s="20" t="s">
        <v>62</v>
      </c>
      <c r="C14" s="20" t="s">
        <v>109</v>
      </c>
      <c r="D14" s="20" t="s">
        <v>122</v>
      </c>
      <c r="E14" s="20" t="s">
        <v>62</v>
      </c>
      <c r="F14" s="20" t="s">
        <v>62</v>
      </c>
      <c r="G14" s="20" t="s">
        <v>62</v>
      </c>
      <c r="H14" s="20" t="s">
        <v>62</v>
      </c>
    </row>
    <row r="15" customFormat="false" ht="27.75" hidden="false" customHeight="true" outlineLevel="0" collapsed="false">
      <c r="A15" s="4" t="s">
        <v>174</v>
      </c>
      <c r="B15" s="20" t="s">
        <v>175</v>
      </c>
      <c r="C15" s="20" t="s">
        <v>176</v>
      </c>
      <c r="D15" s="20" t="s">
        <v>124</v>
      </c>
      <c r="E15" s="20" t="s">
        <v>177</v>
      </c>
      <c r="F15" s="20" t="s">
        <v>178</v>
      </c>
      <c r="G15" s="20" t="s">
        <v>175</v>
      </c>
      <c r="H15" s="20" t="s">
        <v>179</v>
      </c>
    </row>
    <row r="16" customFormat="false" ht="27.75" hidden="false" customHeight="true" outlineLevel="0" collapsed="false">
      <c r="A16" s="4" t="s">
        <v>180</v>
      </c>
      <c r="B16" s="20" t="s">
        <v>66</v>
      </c>
      <c r="C16" s="20" t="s">
        <v>66</v>
      </c>
      <c r="D16" s="20" t="s">
        <v>66</v>
      </c>
      <c r="E16" s="20" t="s">
        <v>181</v>
      </c>
      <c r="F16" s="20" t="s">
        <v>182</v>
      </c>
      <c r="G16" s="20" t="s">
        <v>66</v>
      </c>
      <c r="H16" s="20" t="s">
        <v>151</v>
      </c>
    </row>
    <row r="17" customFormat="false" ht="27.75" hidden="false" customHeight="true" outlineLevel="0" collapsed="false">
      <c r="A17" s="4" t="s">
        <v>26</v>
      </c>
      <c r="B17" s="20" t="s">
        <v>86</v>
      </c>
      <c r="C17" s="20" t="s">
        <v>183</v>
      </c>
      <c r="D17" s="20" t="s">
        <v>184</v>
      </c>
      <c r="E17" s="20" t="s">
        <v>185</v>
      </c>
      <c r="F17" s="20" t="s">
        <v>86</v>
      </c>
      <c r="G17" s="20" t="s">
        <v>186</v>
      </c>
      <c r="H17" s="20" t="s">
        <v>187</v>
      </c>
    </row>
    <row r="18" customFormat="false" ht="27.75" hidden="false" customHeight="true" outlineLevel="0" collapsed="false">
      <c r="A18" s="27" t="s">
        <v>112</v>
      </c>
      <c r="B18" s="28" t="s">
        <v>188</v>
      </c>
      <c r="C18" s="29" t="s">
        <v>114</v>
      </c>
      <c r="D18" s="29" t="s">
        <v>130</v>
      </c>
      <c r="E18" s="29" t="s">
        <v>189</v>
      </c>
      <c r="F18" s="29" t="s">
        <v>190</v>
      </c>
      <c r="G18" s="29" t="s">
        <v>191</v>
      </c>
      <c r="H18" s="29" t="s">
        <v>192</v>
      </c>
    </row>
    <row r="19" customFormat="false" ht="27.75" hidden="false" customHeight="true" outlineLevel="0" collapsed="false">
      <c r="A19" s="27" t="s">
        <v>82</v>
      </c>
      <c r="B19" s="28" t="s">
        <v>193</v>
      </c>
      <c r="C19" s="29" t="s">
        <v>194</v>
      </c>
      <c r="D19" s="29" t="s">
        <v>195</v>
      </c>
      <c r="E19" s="29" t="s">
        <v>196</v>
      </c>
      <c r="F19" s="29" t="s">
        <v>193</v>
      </c>
      <c r="G19" s="29" t="s">
        <v>193</v>
      </c>
      <c r="H19" s="29" t="s">
        <v>197</v>
      </c>
    </row>
    <row r="20" customFormat="false" ht="27.75" hidden="false" customHeight="true" outlineLevel="0" collapsed="false">
      <c r="A20" s="27" t="s">
        <v>87</v>
      </c>
      <c r="B20" s="28" t="s">
        <v>198</v>
      </c>
      <c r="C20" s="29" t="s">
        <v>199</v>
      </c>
      <c r="D20" s="29" t="s">
        <v>200</v>
      </c>
      <c r="E20" s="29" t="s">
        <v>201</v>
      </c>
      <c r="F20" s="29" t="s">
        <v>198</v>
      </c>
      <c r="G20" s="29" t="s">
        <v>202</v>
      </c>
      <c r="H20" s="29" t="s">
        <v>203</v>
      </c>
    </row>
    <row r="21" customFormat="false" ht="27.75" hidden="false" customHeight="true" outlineLevel="0" collapsed="false">
      <c r="A21" s="4" t="s">
        <v>204</v>
      </c>
      <c r="B21" s="20" t="s">
        <v>205</v>
      </c>
      <c r="C21" s="20" t="s">
        <v>206</v>
      </c>
      <c r="D21" s="20" t="s">
        <v>207</v>
      </c>
      <c r="E21" s="20" t="s">
        <v>208</v>
      </c>
      <c r="F21" s="20" t="s">
        <v>205</v>
      </c>
      <c r="G21" s="20" t="s">
        <v>205</v>
      </c>
      <c r="H21" s="20" t="s">
        <v>209</v>
      </c>
    </row>
    <row r="22" customFormat="false" ht="27.75" hidden="false" customHeight="true" outlineLevel="0" collapsed="false">
      <c r="A22" s="26" t="s">
        <v>210</v>
      </c>
      <c r="B22" s="26"/>
      <c r="C22" s="26"/>
      <c r="D22" s="26"/>
      <c r="E22" s="26"/>
      <c r="F22" s="26"/>
      <c r="G22" s="26"/>
      <c r="H22" s="26"/>
    </row>
    <row r="23" customFormat="false" ht="27.75" hidden="false" customHeight="true" outlineLevel="0" collapsed="false">
      <c r="A23" s="27" t="s">
        <v>211</v>
      </c>
      <c r="B23" s="28" t="s">
        <v>212</v>
      </c>
      <c r="C23" s="30" t="s">
        <v>213</v>
      </c>
      <c r="D23" s="30" t="s">
        <v>214</v>
      </c>
      <c r="E23" s="28" t="s">
        <v>215</v>
      </c>
      <c r="F23" s="30" t="s">
        <v>216</v>
      </c>
      <c r="G23" s="28" t="s">
        <v>217</v>
      </c>
      <c r="H23" s="31" t="s">
        <v>218</v>
      </c>
    </row>
    <row r="24" customFormat="false" ht="27.75" hidden="false" customHeight="true" outlineLevel="0" collapsed="false">
      <c r="A24" s="27" t="s">
        <v>118</v>
      </c>
      <c r="B24" s="28" t="s">
        <v>219</v>
      </c>
      <c r="C24" s="29" t="s">
        <v>220</v>
      </c>
      <c r="D24" s="29" t="s">
        <v>221</v>
      </c>
      <c r="E24" s="29" t="s">
        <v>222</v>
      </c>
      <c r="F24" s="29" t="s">
        <v>223</v>
      </c>
      <c r="G24" s="29" t="s">
        <v>224</v>
      </c>
      <c r="H24" s="29" t="s">
        <v>225</v>
      </c>
    </row>
  </sheetData>
  <mergeCells count="4">
    <mergeCell ref="A1:H1"/>
    <mergeCell ref="A3:H3"/>
    <mergeCell ref="A11:H11"/>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55"/>
  </cols>
  <sheetData>
    <row r="1" customFormat="false" ht="39.75" hidden="false" customHeight="true" outlineLevel="0" collapsed="false">
      <c r="A1" s="32" t="s">
        <v>226</v>
      </c>
      <c r="B1" s="32"/>
    </row>
    <row r="2" customFormat="false" ht="21.75" hidden="false" customHeight="true" outlineLevel="0" collapsed="false">
      <c r="A2" s="33" t="s">
        <v>227</v>
      </c>
      <c r="B2" s="9" t="s">
        <v>228</v>
      </c>
    </row>
    <row r="3" customFormat="false" ht="21.75" hidden="false" customHeight="true" outlineLevel="0" collapsed="false">
      <c r="A3" s="19"/>
      <c r="B3" s="19"/>
    </row>
    <row r="4" customFormat="false" ht="21.75" hidden="false" customHeight="true" outlineLevel="0" collapsed="false">
      <c r="A4" s="33" t="s">
        <v>229</v>
      </c>
      <c r="B4" s="9" t="s">
        <v>230</v>
      </c>
    </row>
    <row r="5" customFormat="false" ht="21.75" hidden="false" customHeight="true" outlineLevel="0" collapsed="false">
      <c r="A5" s="19" t="s">
        <v>154</v>
      </c>
      <c r="B5" s="19" t="s">
        <v>231</v>
      </c>
    </row>
    <row r="6" customFormat="false" ht="21.75" hidden="false" customHeight="true" outlineLevel="0" collapsed="false">
      <c r="A6" s="19" t="s">
        <v>204</v>
      </c>
      <c r="B6" s="19" t="s">
        <v>232</v>
      </c>
    </row>
    <row r="7" customFormat="false" ht="21.75" hidden="false" customHeight="true" outlineLevel="0" collapsed="false">
      <c r="A7" s="19" t="s">
        <v>233</v>
      </c>
      <c r="B7" s="19" t="s">
        <v>234</v>
      </c>
    </row>
    <row r="8" customFormat="false" ht="21.75" hidden="false" customHeight="true" outlineLevel="0" collapsed="false">
      <c r="A8" s="19" t="s">
        <v>235</v>
      </c>
      <c r="B8" s="19" t="s">
        <v>236</v>
      </c>
    </row>
    <row r="9" customFormat="false" ht="30" hidden="false" customHeight="true" outlineLevel="0" collapsed="false">
      <c r="A9" s="19" t="s">
        <v>237</v>
      </c>
      <c r="B9" s="19" t="s">
        <v>238</v>
      </c>
    </row>
    <row r="10" customFormat="false" ht="21.75" hidden="false" customHeight="true" outlineLevel="0" collapsed="false">
      <c r="A10" s="19" t="s">
        <v>239</v>
      </c>
      <c r="B10" s="19" t="s">
        <v>240</v>
      </c>
    </row>
    <row r="11" customFormat="false" ht="21.75" hidden="false" customHeight="true" outlineLevel="0" collapsed="false">
      <c r="A11" s="19"/>
      <c r="B11" s="19"/>
    </row>
    <row r="12" customFormat="false" ht="21.75" hidden="false" customHeight="true" outlineLevel="0" collapsed="false">
      <c r="A12" s="33" t="s">
        <v>241</v>
      </c>
      <c r="B12" s="9" t="s">
        <v>242</v>
      </c>
    </row>
    <row r="13" customFormat="false" ht="21.75" hidden="false" customHeight="true" outlineLevel="0" collapsed="false">
      <c r="A13" s="19" t="s">
        <v>154</v>
      </c>
      <c r="B13" s="19" t="s">
        <v>243</v>
      </c>
    </row>
    <row r="14" customFormat="false" ht="21.75" hidden="false" customHeight="true" outlineLevel="0" collapsed="false">
      <c r="A14" s="19" t="s">
        <v>204</v>
      </c>
      <c r="B14" s="19" t="s">
        <v>244</v>
      </c>
    </row>
    <row r="15" customFormat="false" ht="30" hidden="false" customHeight="true" outlineLevel="0" collapsed="false">
      <c r="A15" s="19" t="s">
        <v>233</v>
      </c>
      <c r="B15" s="19" t="s">
        <v>245</v>
      </c>
    </row>
    <row r="16" customFormat="false" ht="30" hidden="false" customHeight="true" outlineLevel="0" collapsed="false">
      <c r="A16" s="19" t="s">
        <v>235</v>
      </c>
      <c r="B16" s="19" t="s">
        <v>246</v>
      </c>
    </row>
    <row r="17" customFormat="false" ht="30" hidden="false" customHeight="true" outlineLevel="0" collapsed="false">
      <c r="A17" s="19" t="s">
        <v>247</v>
      </c>
      <c r="B17" s="19" t="s">
        <v>248</v>
      </c>
    </row>
    <row r="18" customFormat="false" ht="30" hidden="false" customHeight="true" outlineLevel="0" collapsed="false">
      <c r="A18" s="19" t="s">
        <v>239</v>
      </c>
      <c r="B18" s="19" t="s">
        <v>249</v>
      </c>
    </row>
    <row r="19" customFormat="false" ht="21.75" hidden="false" customHeight="true" outlineLevel="0" collapsed="false">
      <c r="A19" s="19"/>
      <c r="B19" s="19"/>
    </row>
    <row r="20" customFormat="false" ht="21.75" hidden="false" customHeight="true" outlineLevel="0" collapsed="false">
      <c r="A20" s="33" t="s">
        <v>250</v>
      </c>
      <c r="B20" s="9" t="s">
        <v>251</v>
      </c>
    </row>
    <row r="21" customFormat="false" ht="21.75" hidden="false" customHeight="true" outlineLevel="0" collapsed="false">
      <c r="A21" s="19" t="s">
        <v>154</v>
      </c>
      <c r="B21" s="19" t="s">
        <v>252</v>
      </c>
    </row>
    <row r="22" customFormat="false" ht="21.75" hidden="false" customHeight="true" outlineLevel="0" collapsed="false">
      <c r="A22" s="19" t="s">
        <v>204</v>
      </c>
      <c r="B22" s="19" t="s">
        <v>253</v>
      </c>
    </row>
    <row r="23" customFormat="false" ht="21.75" hidden="false" customHeight="true" outlineLevel="0" collapsed="false">
      <c r="A23" s="19" t="s">
        <v>233</v>
      </c>
      <c r="B23" s="19" t="s">
        <v>254</v>
      </c>
    </row>
    <row r="24" customFormat="false" ht="21.75" hidden="false" customHeight="true" outlineLevel="0" collapsed="false">
      <c r="A24" s="19" t="s">
        <v>235</v>
      </c>
      <c r="B24" s="19" t="s">
        <v>255</v>
      </c>
    </row>
    <row r="25" customFormat="false" ht="30" hidden="false" customHeight="true" outlineLevel="0" collapsed="false">
      <c r="A25" s="19" t="s">
        <v>247</v>
      </c>
      <c r="B25" s="19" t="s">
        <v>256</v>
      </c>
    </row>
    <row r="26" customFormat="false" ht="21.75" hidden="false" customHeight="true" outlineLevel="0" collapsed="false">
      <c r="A26" s="19" t="s">
        <v>239</v>
      </c>
      <c r="B26" s="19" t="s">
        <v>257</v>
      </c>
    </row>
    <row r="27" customFormat="false" ht="21.75" hidden="false" customHeight="true" outlineLevel="0" collapsed="false">
      <c r="A27" s="19"/>
      <c r="B27" s="19"/>
    </row>
    <row r="28" customFormat="false" ht="30" hidden="false" customHeight="true" outlineLevel="0" collapsed="false">
      <c r="A28" s="22" t="s">
        <v>258</v>
      </c>
      <c r="B28" s="34" t="s">
        <v>259</v>
      </c>
    </row>
    <row r="29" customFormat="false" ht="21.75" hidden="false" customHeight="true" outlineLevel="0" collapsed="false">
      <c r="A29" s="19"/>
      <c r="B29" s="19"/>
    </row>
    <row r="30" customFormat="false" ht="30" hidden="false" customHeight="true" outlineLevel="0" collapsed="false">
      <c r="A30" s="22" t="s">
        <v>260</v>
      </c>
      <c r="B30" s="34" t="s">
        <v>261</v>
      </c>
    </row>
    <row r="31" customFormat="false" ht="21.75" hidden="false" customHeight="true" outlineLevel="0" collapsed="false">
      <c r="A31" s="19"/>
      <c r="B31" s="19"/>
    </row>
    <row r="32" customFormat="false" ht="30" hidden="false" customHeight="true" outlineLevel="0" collapsed="false">
      <c r="A32" s="14" t="s">
        <v>262</v>
      </c>
      <c r="B32" s="35" t="s">
        <v>263</v>
      </c>
    </row>
    <row r="33" customFormat="false" ht="21.75" hidden="false" customHeight="true" outlineLevel="0" collapsed="false">
      <c r="A33" s="19"/>
      <c r="B33" s="19"/>
    </row>
    <row r="34" customFormat="false" ht="21.75" hidden="false" customHeight="true" outlineLevel="0" collapsed="false">
      <c r="A34" s="35" t="s">
        <v>264</v>
      </c>
      <c r="B34" s="35" t="s">
        <v>265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65"/>
  </cols>
  <sheetData>
    <row r="1" customFormat="false" ht="39.75" hidden="false" customHeight="true" outlineLevel="0" collapsed="false">
      <c r="A1" s="32" t="s">
        <v>266</v>
      </c>
      <c r="B1" s="32"/>
    </row>
    <row r="2" customFormat="false" ht="27.75" hidden="false" customHeight="true" outlineLevel="0" collapsed="false">
      <c r="A2" s="36" t="s">
        <v>267</v>
      </c>
      <c r="B2" s="19" t="s">
        <v>268</v>
      </c>
    </row>
    <row r="3" customFormat="false" ht="27.75" hidden="false" customHeight="true" outlineLevel="0" collapsed="false">
      <c r="A3" s="22" t="s">
        <v>269</v>
      </c>
      <c r="B3" s="34" t="s">
        <v>270</v>
      </c>
    </row>
    <row r="4" customFormat="false" ht="27.75" hidden="false" customHeight="true" outlineLevel="0" collapsed="false">
      <c r="A4" s="19"/>
      <c r="B4" s="19"/>
    </row>
    <row r="5" customFormat="false" ht="27.75" hidden="false" customHeight="true" outlineLevel="0" collapsed="false">
      <c r="A5" s="33" t="s">
        <v>271</v>
      </c>
      <c r="B5" s="9" t="s">
        <v>272</v>
      </c>
    </row>
    <row r="6" customFormat="false" ht="27.75" hidden="false" customHeight="true" outlineLevel="0" collapsed="false">
      <c r="A6" s="19"/>
      <c r="B6" s="19"/>
    </row>
    <row r="7" customFormat="false" ht="27.75" hidden="false" customHeight="true" outlineLevel="0" collapsed="false">
      <c r="A7" s="19" t="s">
        <v>273</v>
      </c>
      <c r="B7" s="19" t="s">
        <v>274</v>
      </c>
    </row>
    <row r="8" customFormat="false" ht="27.75" hidden="false" customHeight="true" outlineLevel="0" collapsed="false">
      <c r="A8" s="19"/>
      <c r="B8" s="19"/>
    </row>
    <row r="9" customFormat="false" ht="45.75" hidden="false" customHeight="true" outlineLevel="0" collapsed="false">
      <c r="A9" s="14" t="s">
        <v>275</v>
      </c>
      <c r="B9" s="35" t="s">
        <v>276</v>
      </c>
    </row>
    <row r="10" customFormat="false" ht="27.75" hidden="false" customHeight="true" outlineLevel="0" collapsed="false">
      <c r="A10" s="19"/>
      <c r="B10" s="19"/>
    </row>
    <row r="11" customFormat="false" ht="45.75" hidden="false" customHeight="true" outlineLevel="0" collapsed="false">
      <c r="A11" s="14" t="s">
        <v>277</v>
      </c>
      <c r="B11" s="35" t="s">
        <v>278</v>
      </c>
    </row>
    <row r="12" customFormat="false" ht="27.75" hidden="false" customHeight="true" outlineLevel="0" collapsed="false">
      <c r="A12" s="19"/>
      <c r="B12" s="19"/>
    </row>
    <row r="13" customFormat="false" ht="27.75" hidden="false" customHeight="true" outlineLevel="0" collapsed="false">
      <c r="A13" s="27" t="s">
        <v>279</v>
      </c>
      <c r="B13" s="4" t="s">
        <v>280</v>
      </c>
    </row>
    <row r="14" customFormat="false" ht="27.75" hidden="false" customHeight="true" outlineLevel="0" collapsed="false">
      <c r="A14" s="19"/>
      <c r="B14" s="19"/>
    </row>
    <row r="15" customFormat="false" ht="27.75" hidden="false" customHeight="true" outlineLevel="0" collapsed="false">
      <c r="A15" s="33" t="s">
        <v>281</v>
      </c>
      <c r="B15" s="9" t="s">
        <v>282</v>
      </c>
    </row>
    <row r="16" customFormat="false" ht="27.75" hidden="false" customHeight="true" outlineLevel="0" collapsed="false">
      <c r="A16" s="19"/>
      <c r="B16" s="19"/>
    </row>
    <row r="17" customFormat="false" ht="27.75" hidden="false" customHeight="true" outlineLevel="0" collapsed="false">
      <c r="A17" s="19" t="s">
        <v>283</v>
      </c>
      <c r="B17" s="19" t="s">
        <v>284</v>
      </c>
    </row>
    <row r="18" customFormat="false" ht="27.75" hidden="false" customHeight="true" outlineLevel="0" collapsed="false">
      <c r="A18" s="19"/>
      <c r="B18" s="19"/>
    </row>
    <row r="19" customFormat="false" ht="27.75" hidden="false" customHeight="true" outlineLevel="0" collapsed="false">
      <c r="A19" s="37" t="s">
        <v>285</v>
      </c>
      <c r="B19" s="38" t="s">
        <v>286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60"/>
  </cols>
  <sheetData>
    <row r="1" customFormat="false" ht="39.75" hidden="false" customHeight="true" outlineLevel="0" collapsed="false">
      <c r="A1" s="32" t="s">
        <v>287</v>
      </c>
      <c r="B1" s="32"/>
    </row>
    <row r="2" customFormat="false" ht="21.75" hidden="false" customHeight="true" outlineLevel="0" collapsed="false">
      <c r="A2" s="3" t="s">
        <v>288</v>
      </c>
      <c r="B2" s="3"/>
    </row>
    <row r="3" customFormat="false" ht="21.75" hidden="false" customHeight="true" outlineLevel="0" collapsed="false">
      <c r="A3" s="33" t="s">
        <v>289</v>
      </c>
      <c r="B3" s="4" t="s">
        <v>290</v>
      </c>
    </row>
    <row r="4" customFormat="false" ht="21.75" hidden="false" customHeight="true" outlineLevel="0" collapsed="false">
      <c r="A4" s="33" t="s">
        <v>291</v>
      </c>
      <c r="B4" s="4" t="s">
        <v>292</v>
      </c>
    </row>
    <row r="5" customFormat="false" ht="21.75" hidden="false" customHeight="true" outlineLevel="0" collapsed="false">
      <c r="A5" s="33" t="s">
        <v>293</v>
      </c>
      <c r="B5" s="4" t="s">
        <v>294</v>
      </c>
    </row>
    <row r="6" customFormat="false" ht="21.75" hidden="false" customHeight="true" outlineLevel="0" collapsed="false">
      <c r="A6" s="33" t="s">
        <v>295</v>
      </c>
      <c r="B6" s="4" t="s">
        <v>296</v>
      </c>
    </row>
    <row r="7" customFormat="false" ht="21.75" hidden="false" customHeight="true" outlineLevel="0" collapsed="false">
      <c r="A7" s="33" t="s">
        <v>297</v>
      </c>
      <c r="B7" s="4" t="s">
        <v>298</v>
      </c>
    </row>
    <row r="8" customFormat="false" ht="21.75" hidden="false" customHeight="true" outlineLevel="0" collapsed="false">
      <c r="A8" s="33"/>
      <c r="B8" s="4"/>
    </row>
    <row r="9" customFormat="false" ht="21.75" hidden="false" customHeight="true" outlineLevel="0" collapsed="false">
      <c r="A9" s="3" t="s">
        <v>299</v>
      </c>
      <c r="B9" s="3"/>
    </row>
    <row r="10" customFormat="false" ht="21.75" hidden="false" customHeight="true" outlineLevel="0" collapsed="false">
      <c r="A10" s="33" t="s">
        <v>289</v>
      </c>
      <c r="B10" s="4" t="s">
        <v>300</v>
      </c>
    </row>
    <row r="11" customFormat="false" ht="21.75" hidden="false" customHeight="true" outlineLevel="0" collapsed="false">
      <c r="A11" s="33" t="s">
        <v>291</v>
      </c>
      <c r="B11" s="4" t="s">
        <v>301</v>
      </c>
    </row>
    <row r="12" customFormat="false" ht="21.75" hidden="false" customHeight="true" outlineLevel="0" collapsed="false">
      <c r="A12" s="33" t="s">
        <v>293</v>
      </c>
      <c r="B12" s="4" t="s">
        <v>302</v>
      </c>
    </row>
    <row r="13" customFormat="false" ht="21.75" hidden="false" customHeight="true" outlineLevel="0" collapsed="false">
      <c r="A13" s="33" t="s">
        <v>303</v>
      </c>
      <c r="B13" s="4" t="s">
        <v>304</v>
      </c>
    </row>
    <row r="14" customFormat="false" ht="21.75" hidden="false" customHeight="true" outlineLevel="0" collapsed="false">
      <c r="A14" s="33" t="s">
        <v>305</v>
      </c>
      <c r="B14" s="4" t="s">
        <v>306</v>
      </c>
    </row>
    <row r="15" customFormat="false" ht="21.75" hidden="false" customHeight="true" outlineLevel="0" collapsed="false">
      <c r="A15" s="33"/>
      <c r="B15" s="4"/>
    </row>
    <row r="16" customFormat="false" ht="21.75" hidden="false" customHeight="true" outlineLevel="0" collapsed="false">
      <c r="A16" s="3" t="s">
        <v>307</v>
      </c>
      <c r="B16" s="3"/>
    </row>
    <row r="17" customFormat="false" ht="21.75" hidden="false" customHeight="true" outlineLevel="0" collapsed="false">
      <c r="A17" s="33" t="s">
        <v>289</v>
      </c>
      <c r="B17" s="4" t="s">
        <v>308</v>
      </c>
    </row>
    <row r="18" customFormat="false" ht="21.75" hidden="false" customHeight="true" outlineLevel="0" collapsed="false">
      <c r="A18" s="33" t="s">
        <v>291</v>
      </c>
      <c r="B18" s="4" t="s">
        <v>309</v>
      </c>
    </row>
    <row r="19" customFormat="false" ht="21.75" hidden="false" customHeight="true" outlineLevel="0" collapsed="false">
      <c r="A19" s="33" t="s">
        <v>293</v>
      </c>
      <c r="B19" s="4" t="s">
        <v>310</v>
      </c>
    </row>
    <row r="20" customFormat="false" ht="21.75" hidden="false" customHeight="true" outlineLevel="0" collapsed="false">
      <c r="A20" s="33" t="s">
        <v>311</v>
      </c>
      <c r="B20" s="4" t="s">
        <v>312</v>
      </c>
    </row>
    <row r="21" customFormat="false" ht="21.75" hidden="false" customHeight="true" outlineLevel="0" collapsed="false">
      <c r="A21" s="33" t="s">
        <v>313</v>
      </c>
      <c r="B21" s="4" t="s">
        <v>314</v>
      </c>
    </row>
    <row r="22" customFormat="false" ht="21.75" hidden="false" customHeight="true" outlineLevel="0" collapsed="false">
      <c r="A22" s="33" t="s">
        <v>315</v>
      </c>
      <c r="B22" s="4" t="s">
        <v>316</v>
      </c>
    </row>
    <row r="23" customFormat="false" ht="21.75" hidden="false" customHeight="true" outlineLevel="0" collapsed="false">
      <c r="A23" s="33"/>
      <c r="B23" s="4"/>
    </row>
    <row r="24" customFormat="false" ht="21.75" hidden="false" customHeight="true" outlineLevel="0" collapsed="false">
      <c r="A24" s="3" t="s">
        <v>317</v>
      </c>
      <c r="B24" s="3"/>
    </row>
    <row r="25" customFormat="false" ht="21.75" hidden="false" customHeight="true" outlineLevel="0" collapsed="false">
      <c r="A25" s="33" t="s">
        <v>318</v>
      </c>
      <c r="B25" s="4" t="s">
        <v>319</v>
      </c>
    </row>
    <row r="26" customFormat="false" ht="69.75" hidden="false" customHeight="true" outlineLevel="0" collapsed="false">
      <c r="A26" s="33" t="s">
        <v>320</v>
      </c>
      <c r="B26" s="4" t="s">
        <v>321</v>
      </c>
    </row>
  </sheetData>
  <mergeCells count="5">
    <mergeCell ref="A1:B1"/>
    <mergeCell ref="A2:B2"/>
    <mergeCell ref="A9:B9"/>
    <mergeCell ref="A16:B16"/>
    <mergeCell ref="A24:B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20"/>
    <col collapsed="false" customWidth="true" hidden="false" outlineLevel="0" max="4" min="4" style="1" width="28"/>
  </cols>
  <sheetData>
    <row r="1" customFormat="false" ht="39.75" hidden="false" customHeight="true" outlineLevel="0" collapsed="false">
      <c r="A1" s="32" t="s">
        <v>322</v>
      </c>
      <c r="B1" s="32"/>
      <c r="C1" s="32"/>
      <c r="D1" s="32"/>
    </row>
    <row r="2" customFormat="false" ht="21.75" hidden="false" customHeight="true" outlineLevel="0" collapsed="false">
      <c r="A2" s="3" t="s">
        <v>323</v>
      </c>
      <c r="B2" s="3" t="s">
        <v>324</v>
      </c>
      <c r="C2" s="3" t="s">
        <v>325</v>
      </c>
      <c r="D2" s="3" t="s">
        <v>239</v>
      </c>
    </row>
    <row r="3" customFormat="false" ht="21.75" hidden="false" customHeight="true" outlineLevel="0" collapsed="false">
      <c r="A3" s="29" t="s">
        <v>326</v>
      </c>
      <c r="B3" s="19" t="s">
        <v>327</v>
      </c>
      <c r="C3" s="39" t="s">
        <v>328</v>
      </c>
      <c r="D3" s="34" t="s">
        <v>329</v>
      </c>
    </row>
    <row r="4" customFormat="false" ht="21.75" hidden="false" customHeight="true" outlineLevel="0" collapsed="false">
      <c r="A4" s="29" t="s">
        <v>326</v>
      </c>
      <c r="B4" s="19" t="s">
        <v>330</v>
      </c>
      <c r="C4" s="39" t="s">
        <v>331</v>
      </c>
      <c r="D4" s="34" t="s">
        <v>332</v>
      </c>
    </row>
    <row r="5" customFormat="false" ht="21.75" hidden="false" customHeight="true" outlineLevel="0" collapsed="false">
      <c r="A5" s="29" t="s">
        <v>326</v>
      </c>
      <c r="B5" s="19" t="s">
        <v>333</v>
      </c>
      <c r="C5" s="39" t="s">
        <v>334</v>
      </c>
      <c r="D5" s="34" t="s">
        <v>335</v>
      </c>
    </row>
    <row r="6" customFormat="false" ht="21.75" hidden="false" customHeight="true" outlineLevel="0" collapsed="false">
      <c r="A6" s="29" t="s">
        <v>326</v>
      </c>
      <c r="B6" s="19" t="s">
        <v>336</v>
      </c>
      <c r="C6" s="39" t="s">
        <v>337</v>
      </c>
      <c r="D6" s="34" t="s">
        <v>338</v>
      </c>
    </row>
    <row r="7" customFormat="false" ht="21.75" hidden="false" customHeight="true" outlineLevel="0" collapsed="false">
      <c r="A7" s="29" t="s">
        <v>326</v>
      </c>
      <c r="B7" s="19" t="s">
        <v>339</v>
      </c>
      <c r="C7" s="39" t="s">
        <v>334</v>
      </c>
      <c r="D7" s="34" t="s">
        <v>340</v>
      </c>
    </row>
    <row r="8" customFormat="false" ht="21.75" hidden="false" customHeight="true" outlineLevel="0" collapsed="false">
      <c r="A8" s="29" t="s">
        <v>326</v>
      </c>
      <c r="B8" s="19" t="s">
        <v>341</v>
      </c>
      <c r="C8" s="39" t="s">
        <v>334</v>
      </c>
      <c r="D8" s="34" t="s">
        <v>342</v>
      </c>
    </row>
    <row r="9" customFormat="false" ht="21.75" hidden="false" customHeight="true" outlineLevel="0" collapsed="false">
      <c r="A9" s="29" t="s">
        <v>326</v>
      </c>
      <c r="B9" s="19" t="s">
        <v>343</v>
      </c>
      <c r="C9" s="39" t="s">
        <v>334</v>
      </c>
      <c r="D9" s="34" t="s">
        <v>344</v>
      </c>
    </row>
    <row r="10" customFormat="false" ht="21.75" hidden="false" customHeight="true" outlineLevel="0" collapsed="false">
      <c r="A10" s="29" t="s">
        <v>326</v>
      </c>
      <c r="B10" s="19" t="s">
        <v>345</v>
      </c>
      <c r="C10" s="39" t="s">
        <v>337</v>
      </c>
      <c r="D10" s="34" t="s">
        <v>346</v>
      </c>
    </row>
    <row r="11" customFormat="false" ht="21.75" hidden="false" customHeight="true" outlineLevel="0" collapsed="false">
      <c r="A11" s="29"/>
      <c r="B11" s="19"/>
      <c r="C11" s="39"/>
      <c r="D11" s="34"/>
    </row>
    <row r="12" customFormat="false" ht="21.75" hidden="false" customHeight="true" outlineLevel="0" collapsed="false">
      <c r="A12" s="18" t="s">
        <v>347</v>
      </c>
      <c r="B12" s="18"/>
      <c r="C12" s="18"/>
      <c r="D12" s="18"/>
    </row>
    <row r="13" customFormat="false" ht="21.75" hidden="false" customHeight="true" outlineLevel="0" collapsed="false">
      <c r="A13" s="29" t="s">
        <v>326</v>
      </c>
      <c r="B13" s="19" t="s">
        <v>348</v>
      </c>
      <c r="C13" s="39" t="s">
        <v>349</v>
      </c>
      <c r="D13" s="34" t="s">
        <v>350</v>
      </c>
    </row>
    <row r="14" customFormat="false" ht="21.75" hidden="false" customHeight="true" outlineLevel="0" collapsed="false">
      <c r="A14" s="29" t="s">
        <v>326</v>
      </c>
      <c r="B14" s="19" t="s">
        <v>351</v>
      </c>
      <c r="C14" s="39" t="s">
        <v>352</v>
      </c>
      <c r="D14" s="34" t="s">
        <v>353</v>
      </c>
    </row>
    <row r="15" customFormat="false" ht="21.75" hidden="false" customHeight="true" outlineLevel="0" collapsed="false">
      <c r="A15" s="29" t="s">
        <v>326</v>
      </c>
      <c r="B15" s="19" t="s">
        <v>354</v>
      </c>
      <c r="C15" s="39" t="s">
        <v>355</v>
      </c>
      <c r="D15" s="34" t="s">
        <v>356</v>
      </c>
    </row>
    <row r="16" customFormat="false" ht="21.75" hidden="false" customHeight="true" outlineLevel="0" collapsed="false">
      <c r="A16" s="29" t="s">
        <v>326</v>
      </c>
      <c r="B16" s="19" t="s">
        <v>357</v>
      </c>
      <c r="C16" s="39" t="s">
        <v>358</v>
      </c>
      <c r="D16" s="34" t="s">
        <v>359</v>
      </c>
    </row>
    <row r="17" customFormat="false" ht="21.75" hidden="false" customHeight="true" outlineLevel="0" collapsed="false">
      <c r="A17" s="29" t="s">
        <v>326</v>
      </c>
      <c r="B17" s="19" t="s">
        <v>360</v>
      </c>
      <c r="C17" s="39" t="s">
        <v>361</v>
      </c>
      <c r="D17" s="34" t="s">
        <v>362</v>
      </c>
    </row>
    <row r="18" customFormat="false" ht="21.75" hidden="false" customHeight="true" outlineLevel="0" collapsed="false">
      <c r="A18" s="29" t="s">
        <v>326</v>
      </c>
      <c r="B18" s="19" t="s">
        <v>363</v>
      </c>
      <c r="C18" s="39"/>
      <c r="D18" s="34" t="s">
        <v>364</v>
      </c>
    </row>
    <row r="19" customFormat="false" ht="21.75" hidden="false" customHeight="true" outlineLevel="0" collapsed="false">
      <c r="A19" s="29"/>
      <c r="B19" s="19"/>
      <c r="C19" s="39"/>
      <c r="D19" s="34"/>
    </row>
    <row r="20" customFormat="false" ht="21.75" hidden="false" customHeight="true" outlineLevel="0" collapsed="false">
      <c r="A20" s="18" t="s">
        <v>365</v>
      </c>
      <c r="B20" s="18"/>
      <c r="C20" s="18"/>
      <c r="D20" s="18"/>
    </row>
    <row r="21" customFormat="false" ht="21.75" hidden="false" customHeight="true" outlineLevel="0" collapsed="false">
      <c r="A21" s="29" t="s">
        <v>326</v>
      </c>
      <c r="B21" s="19" t="s">
        <v>366</v>
      </c>
      <c r="C21" s="39" t="s">
        <v>367</v>
      </c>
      <c r="D21" s="34" t="s">
        <v>368</v>
      </c>
    </row>
    <row r="22" customFormat="false" ht="21.75" hidden="false" customHeight="true" outlineLevel="0" collapsed="false">
      <c r="A22" s="29" t="s">
        <v>326</v>
      </c>
      <c r="B22" s="19" t="s">
        <v>369</v>
      </c>
      <c r="C22" s="39" t="s">
        <v>370</v>
      </c>
      <c r="D22" s="34" t="s">
        <v>371</v>
      </c>
    </row>
    <row r="23" customFormat="false" ht="21.75" hidden="false" customHeight="true" outlineLevel="0" collapsed="false">
      <c r="A23" s="29" t="s">
        <v>326</v>
      </c>
      <c r="B23" s="19" t="s">
        <v>357</v>
      </c>
      <c r="C23" s="39" t="s">
        <v>372</v>
      </c>
      <c r="D23" s="34" t="s">
        <v>373</v>
      </c>
    </row>
    <row r="24" customFormat="false" ht="21.75" hidden="false" customHeight="true" outlineLevel="0" collapsed="false">
      <c r="A24" s="29" t="s">
        <v>326</v>
      </c>
      <c r="B24" s="19" t="s">
        <v>374</v>
      </c>
      <c r="C24" s="39" t="s">
        <v>352</v>
      </c>
      <c r="D24" s="34"/>
    </row>
    <row r="25" customFormat="false" ht="21.75" hidden="false" customHeight="true" outlineLevel="0" collapsed="false">
      <c r="A25" s="29" t="s">
        <v>326</v>
      </c>
      <c r="B25" s="19" t="s">
        <v>375</v>
      </c>
      <c r="C25" s="39" t="s">
        <v>376</v>
      </c>
      <c r="D25" s="34" t="s">
        <v>377</v>
      </c>
    </row>
    <row r="26" customFormat="false" ht="21.75" hidden="false" customHeight="true" outlineLevel="0" collapsed="false">
      <c r="A26" s="29" t="s">
        <v>326</v>
      </c>
      <c r="B26" s="19" t="s">
        <v>378</v>
      </c>
      <c r="C26" s="39" t="s">
        <v>379</v>
      </c>
      <c r="D26" s="34" t="s">
        <v>380</v>
      </c>
    </row>
  </sheetData>
  <mergeCells count="3">
    <mergeCell ref="A1:D1"/>
    <mergeCell ref="A12:D12"/>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2026-06-03T19:19:20Z</dcterms:created>
  <dc:creator>openpyxl</dc:creator>
  <dc:description/>
  <dc:language>en-US</dc:language>
  <cp:lastModifiedBy/>
  <dcterms:modified xsi:type="dcterms:W3CDTF">2026-06-04T04:07:18Z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